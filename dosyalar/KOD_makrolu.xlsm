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ozel\TemhaPdks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5" i="5" l="1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K56" i="5" l="1"/>
  <c r="E56" i="5"/>
  <c r="J56" i="5" l="1"/>
  <c r="I3" i="5"/>
  <c r="J3" i="5"/>
  <c r="I4" i="5"/>
  <c r="J4" i="5"/>
  <c r="I5" i="5"/>
  <c r="J5" i="5"/>
  <c r="I6" i="5"/>
  <c r="J6" i="5"/>
  <c r="I7" i="5"/>
  <c r="J7" i="5"/>
  <c r="I8" i="5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I17" i="5"/>
  <c r="J17" i="5"/>
  <c r="I18" i="5"/>
  <c r="J18" i="5"/>
  <c r="I19" i="5"/>
  <c r="J19" i="5"/>
  <c r="I20" i="5"/>
  <c r="J20" i="5"/>
  <c r="I21" i="5"/>
  <c r="J21" i="5"/>
  <c r="I22" i="5"/>
  <c r="I23" i="5"/>
  <c r="J23" i="5"/>
  <c r="I24" i="5"/>
  <c r="J24" i="5"/>
  <c r="I25" i="5"/>
  <c r="J25" i="5"/>
  <c r="I26" i="5"/>
  <c r="I27" i="5"/>
  <c r="J27" i="5"/>
  <c r="I28" i="5"/>
  <c r="J28" i="5"/>
  <c r="I29" i="5"/>
  <c r="J29" i="5"/>
  <c r="I30" i="5"/>
  <c r="J30" i="5"/>
  <c r="I31" i="5"/>
  <c r="J31" i="5"/>
  <c r="I32" i="5"/>
  <c r="J32" i="5"/>
  <c r="I33" i="5"/>
  <c r="I34" i="5"/>
  <c r="J34" i="5"/>
  <c r="I35" i="5"/>
  <c r="J35" i="5"/>
  <c r="I36" i="5"/>
  <c r="J36" i="5"/>
  <c r="I37" i="5"/>
  <c r="I38" i="5"/>
  <c r="J38" i="5"/>
  <c r="I39" i="5"/>
  <c r="J39" i="5"/>
  <c r="I40" i="5"/>
  <c r="J40" i="5"/>
  <c r="I41" i="5"/>
  <c r="J41" i="5"/>
  <c r="I42" i="5"/>
  <c r="J42" i="5"/>
  <c r="I43" i="5"/>
  <c r="J43" i="5"/>
  <c r="I44" i="5"/>
  <c r="I45" i="5"/>
  <c r="J45" i="5"/>
  <c r="I46" i="5"/>
  <c r="J46" i="5"/>
  <c r="I47" i="5"/>
  <c r="J47" i="5"/>
  <c r="I48" i="5"/>
  <c r="J48" i="5"/>
  <c r="I49" i="5"/>
  <c r="J49" i="5"/>
  <c r="I50" i="5"/>
  <c r="I51" i="5"/>
  <c r="J51" i="5"/>
  <c r="I52" i="5"/>
  <c r="J52" i="5"/>
  <c r="I53" i="5"/>
  <c r="J53" i="5"/>
  <c r="I54" i="5"/>
  <c r="J54" i="5"/>
  <c r="J55" i="5"/>
  <c r="J57" i="5"/>
  <c r="J58" i="5"/>
  <c r="J59" i="5"/>
  <c r="J60" i="5"/>
  <c r="J61" i="5"/>
  <c r="J62" i="5"/>
  <c r="J63" i="5"/>
  <c r="J64" i="5"/>
  <c r="J66" i="5"/>
  <c r="J67" i="5"/>
  <c r="J68" i="5"/>
  <c r="J69" i="5"/>
  <c r="J70" i="5"/>
  <c r="J71" i="5"/>
  <c r="J72" i="5"/>
  <c r="J73" i="5"/>
  <c r="J74" i="5"/>
  <c r="J76" i="5"/>
  <c r="J77" i="5"/>
  <c r="J78" i="5"/>
  <c r="J79" i="5"/>
  <c r="J80" i="5"/>
  <c r="J81" i="5"/>
  <c r="J82" i="5"/>
  <c r="J84" i="5"/>
  <c r="J85" i="5"/>
  <c r="J86" i="5"/>
  <c r="J87" i="5"/>
  <c r="J88" i="5"/>
  <c r="J89" i="5"/>
  <c r="J90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E3" i="5"/>
  <c r="E12" i="5"/>
  <c r="K12" i="5"/>
  <c r="E4" i="5"/>
  <c r="E7" i="5"/>
  <c r="E10" i="5"/>
  <c r="E13" i="5"/>
  <c r="K13" i="5"/>
  <c r="E5" i="5"/>
  <c r="E11" i="5"/>
  <c r="E14" i="5"/>
  <c r="E8" i="5"/>
  <c r="K14" i="5"/>
  <c r="E6" i="5"/>
  <c r="E9" i="5"/>
  <c r="E16" i="5"/>
  <c r="E19" i="5"/>
  <c r="E22" i="5"/>
  <c r="E25" i="5"/>
  <c r="E28" i="5"/>
  <c r="E31" i="5"/>
  <c r="E34" i="5"/>
  <c r="E37" i="5"/>
  <c r="E40" i="5"/>
  <c r="E43" i="5"/>
  <c r="E46" i="5"/>
  <c r="E49" i="5"/>
  <c r="E55" i="5"/>
  <c r="E64" i="5"/>
  <c r="E82" i="5"/>
  <c r="E115" i="5"/>
  <c r="E118" i="5"/>
  <c r="E121" i="5"/>
  <c r="E124" i="5"/>
  <c r="E127" i="5"/>
  <c r="E130" i="5"/>
  <c r="E133" i="5"/>
  <c r="E136" i="5"/>
  <c r="E139" i="5"/>
  <c r="E142" i="5"/>
  <c r="E145" i="5"/>
  <c r="E148" i="5"/>
  <c r="E151" i="5"/>
  <c r="E154" i="5"/>
  <c r="E157" i="5"/>
  <c r="E160" i="5"/>
  <c r="E163" i="5"/>
  <c r="E166" i="5"/>
  <c r="E169" i="5"/>
  <c r="E172" i="5"/>
  <c r="E175" i="5"/>
  <c r="E178" i="5"/>
  <c r="E181" i="5"/>
  <c r="K16" i="5"/>
  <c r="K19" i="5"/>
  <c r="K22" i="5"/>
  <c r="K25" i="5"/>
  <c r="K37" i="5"/>
  <c r="K43" i="5"/>
  <c r="K49" i="5"/>
  <c r="K55" i="5"/>
  <c r="K115" i="5"/>
  <c r="K118" i="5"/>
  <c r="K121" i="5"/>
  <c r="K124" i="5"/>
  <c r="K127" i="5"/>
  <c r="K130" i="5"/>
  <c r="K133" i="5"/>
  <c r="K136" i="5"/>
  <c r="K139" i="5"/>
  <c r="K142" i="5"/>
  <c r="K145" i="5"/>
  <c r="K148" i="5"/>
  <c r="K151" i="5"/>
  <c r="K154" i="5"/>
  <c r="K157" i="5"/>
  <c r="K160" i="5"/>
  <c r="K163" i="5"/>
  <c r="K166" i="5"/>
  <c r="K169" i="5"/>
  <c r="K172" i="5"/>
  <c r="K175" i="5"/>
  <c r="K178" i="5"/>
  <c r="K181" i="5"/>
  <c r="E17" i="5"/>
  <c r="E20" i="5"/>
  <c r="E23" i="5"/>
  <c r="E26" i="5"/>
  <c r="E29" i="5"/>
  <c r="E32" i="5"/>
  <c r="E35" i="5"/>
  <c r="E38" i="5"/>
  <c r="E41" i="5"/>
  <c r="E44" i="5"/>
  <c r="E47" i="5"/>
  <c r="E74" i="5"/>
  <c r="E113" i="5"/>
  <c r="E116" i="5"/>
  <c r="E119" i="5"/>
  <c r="E122" i="5"/>
  <c r="E125" i="5"/>
  <c r="E128" i="5"/>
  <c r="E131" i="5"/>
  <c r="E134" i="5"/>
  <c r="E137" i="5"/>
  <c r="E140" i="5"/>
  <c r="E143" i="5"/>
  <c r="E146" i="5"/>
  <c r="E149" i="5"/>
  <c r="E152" i="5"/>
  <c r="E155" i="5"/>
  <c r="E158" i="5"/>
  <c r="E161" i="5"/>
  <c r="E164" i="5"/>
  <c r="E167" i="5"/>
  <c r="E170" i="5"/>
  <c r="E173" i="5"/>
  <c r="E176" i="5"/>
  <c r="E179" i="5"/>
  <c r="E182" i="5"/>
  <c r="K182" i="5"/>
  <c r="K20" i="5"/>
  <c r="K26" i="5"/>
  <c r="K32" i="5"/>
  <c r="K44" i="5"/>
  <c r="K113" i="5"/>
  <c r="K116" i="5"/>
  <c r="K119" i="5"/>
  <c r="K122" i="5"/>
  <c r="K125" i="5"/>
  <c r="K128" i="5"/>
  <c r="K131" i="5"/>
  <c r="K134" i="5"/>
  <c r="K137" i="5"/>
  <c r="K140" i="5"/>
  <c r="K143" i="5"/>
  <c r="K146" i="5"/>
  <c r="K149" i="5"/>
  <c r="K152" i="5"/>
  <c r="K155" i="5"/>
  <c r="K158" i="5"/>
  <c r="K161" i="5"/>
  <c r="K164" i="5"/>
  <c r="K167" i="5"/>
  <c r="K170" i="5"/>
  <c r="K173" i="5"/>
  <c r="K176" i="5"/>
  <c r="K179" i="5"/>
  <c r="E15" i="5"/>
  <c r="E18" i="5"/>
  <c r="E21" i="5"/>
  <c r="E24" i="5"/>
  <c r="E27" i="5"/>
  <c r="E30" i="5"/>
  <c r="E33" i="5"/>
  <c r="E36" i="5"/>
  <c r="E39" i="5"/>
  <c r="E42" i="5"/>
  <c r="E45" i="5"/>
  <c r="E48" i="5"/>
  <c r="E90" i="5"/>
  <c r="E114" i="5"/>
  <c r="E117" i="5"/>
  <c r="E120" i="5"/>
  <c r="E123" i="5"/>
  <c r="E126" i="5"/>
  <c r="E129" i="5"/>
  <c r="E132" i="5"/>
  <c r="E135" i="5"/>
  <c r="E138" i="5"/>
  <c r="E141" i="5"/>
  <c r="E144" i="5"/>
  <c r="E147" i="5"/>
  <c r="E150" i="5"/>
  <c r="E153" i="5"/>
  <c r="E156" i="5"/>
  <c r="E159" i="5"/>
  <c r="E162" i="5"/>
  <c r="E165" i="5"/>
  <c r="E168" i="5"/>
  <c r="E171" i="5"/>
  <c r="E174" i="5"/>
  <c r="E177" i="5"/>
  <c r="E180" i="5"/>
  <c r="K15" i="5"/>
  <c r="K21" i="5"/>
  <c r="K33" i="5"/>
  <c r="K36" i="5"/>
  <c r="K114" i="5"/>
  <c r="K117" i="5"/>
  <c r="K120" i="5"/>
  <c r="K123" i="5"/>
  <c r="K126" i="5"/>
  <c r="K129" i="5"/>
  <c r="K132" i="5"/>
  <c r="K135" i="5"/>
  <c r="K138" i="5"/>
  <c r="K141" i="5"/>
  <c r="K144" i="5"/>
  <c r="K147" i="5"/>
  <c r="K150" i="5"/>
  <c r="K153" i="5"/>
  <c r="K156" i="5"/>
  <c r="K159" i="5"/>
  <c r="K162" i="5"/>
  <c r="K165" i="5"/>
  <c r="K168" i="5"/>
  <c r="K171" i="5"/>
  <c r="K174" i="5"/>
  <c r="K177" i="5"/>
  <c r="K180" i="5"/>
  <c r="E106" i="5"/>
  <c r="E101" i="5"/>
  <c r="E102" i="5"/>
  <c r="E104" i="5"/>
  <c r="E108" i="5"/>
  <c r="E112" i="5"/>
  <c r="E110" i="5"/>
  <c r="E91" i="5"/>
  <c r="E92" i="5"/>
  <c r="E111" i="5"/>
  <c r="E94" i="5"/>
  <c r="E97" i="5"/>
  <c r="E93" i="5"/>
  <c r="E100" i="5"/>
  <c r="E96" i="5"/>
  <c r="E95" i="5"/>
  <c r="E103" i="5"/>
  <c r="E98" i="5"/>
  <c r="E99" i="5"/>
  <c r="E109" i="5"/>
  <c r="E105" i="5"/>
  <c r="E107" i="5"/>
  <c r="E85" i="5"/>
  <c r="E88" i="5"/>
  <c r="E83" i="5"/>
  <c r="E86" i="5"/>
  <c r="E89" i="5"/>
  <c r="E84" i="5"/>
  <c r="E87" i="5"/>
  <c r="E81" i="5"/>
  <c r="E77" i="5"/>
  <c r="E78" i="5"/>
  <c r="E79" i="5"/>
  <c r="E80" i="5"/>
  <c r="E75" i="5"/>
  <c r="E76" i="5"/>
  <c r="E66" i="5"/>
  <c r="E69" i="5"/>
  <c r="E67" i="5"/>
  <c r="E72" i="5"/>
  <c r="E65" i="5"/>
  <c r="E68" i="5"/>
  <c r="E71" i="5"/>
  <c r="E70" i="5"/>
  <c r="E73" i="5"/>
  <c r="K112" i="5"/>
  <c r="E60" i="5"/>
  <c r="E62" i="5"/>
  <c r="E61" i="5"/>
  <c r="E57" i="5"/>
  <c r="E58" i="5"/>
  <c r="E63" i="5"/>
  <c r="E59" i="5"/>
  <c r="K70" i="5"/>
  <c r="K106" i="5"/>
  <c r="K65" i="5"/>
  <c r="K101" i="5"/>
  <c r="K99" i="5"/>
  <c r="K73" i="5"/>
  <c r="K109" i="5"/>
  <c r="K68" i="5"/>
  <c r="K104" i="5"/>
  <c r="K66" i="5"/>
  <c r="K102" i="5"/>
  <c r="K76" i="5"/>
  <c r="K71" i="5"/>
  <c r="K107" i="5"/>
  <c r="K69" i="5"/>
  <c r="K105" i="5"/>
  <c r="K79" i="5"/>
  <c r="K74" i="5"/>
  <c r="K82" i="5"/>
  <c r="K77" i="5"/>
  <c r="K75" i="5"/>
  <c r="K111" i="5"/>
  <c r="K85" i="5"/>
  <c r="K80" i="5"/>
  <c r="K78" i="5"/>
  <c r="K90" i="5"/>
  <c r="K72" i="5"/>
  <c r="K88" i="5"/>
  <c r="K83" i="5"/>
  <c r="K81" i="5"/>
  <c r="K91" i="5"/>
  <c r="K86" i="5"/>
  <c r="K84" i="5"/>
  <c r="K97" i="5"/>
  <c r="K92" i="5"/>
  <c r="K98" i="5"/>
  <c r="K96" i="5"/>
  <c r="K94" i="5"/>
  <c r="K89" i="5"/>
  <c r="K87" i="5"/>
  <c r="K93" i="5"/>
  <c r="K67" i="5"/>
  <c r="K108" i="5"/>
  <c r="K64" i="5"/>
  <c r="K100" i="5"/>
  <c r="K95" i="5"/>
  <c r="K103" i="5"/>
  <c r="K110" i="5"/>
  <c r="K59" i="5"/>
  <c r="K62" i="5"/>
  <c r="K57" i="5"/>
  <c r="K58" i="5"/>
  <c r="K60" i="5"/>
  <c r="K63" i="5"/>
  <c r="K61" i="5"/>
  <c r="K50" i="5"/>
  <c r="J91" i="5" l="1"/>
  <c r="J83" i="5"/>
  <c r="J75" i="5"/>
  <c r="J65" i="5"/>
  <c r="J33" i="5"/>
  <c r="J50" i="5"/>
  <c r="J44" i="5"/>
  <c r="J26" i="5"/>
  <c r="J37" i="5"/>
  <c r="J22" i="5"/>
  <c r="J16" i="5"/>
  <c r="K11" i="5"/>
  <c r="K5" i="5"/>
  <c r="K7" i="5"/>
  <c r="K6" i="5"/>
  <c r="K10" i="5"/>
  <c r="K4" i="5"/>
  <c r="K3" i="5"/>
  <c r="K9" i="5"/>
  <c r="K8" i="5"/>
  <c r="K17" i="5"/>
  <c r="K39" i="5"/>
  <c r="K29" i="5"/>
  <c r="K23" i="5"/>
  <c r="K40" i="5"/>
  <c r="K48" i="5"/>
  <c r="K41" i="5"/>
  <c r="K27" i="5"/>
  <c r="K45" i="5"/>
  <c r="K47" i="5"/>
  <c r="K35" i="5"/>
  <c r="K24" i="5"/>
  <c r="K42" i="5"/>
  <c r="K46" i="5"/>
  <c r="K38" i="5"/>
  <c r="K34" i="5"/>
  <c r="K31" i="5"/>
  <c r="K28" i="5"/>
  <c r="K18" i="5"/>
  <c r="K30" i="5"/>
  <c r="K54" i="5"/>
  <c r="K53" i="5"/>
  <c r="K52" i="5"/>
  <c r="K51" i="5"/>
  <c r="I2" i="5" l="1"/>
  <c r="J183" i="5" l="1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K199" i="5"/>
  <c r="K197" i="5"/>
  <c r="K189" i="5"/>
  <c r="K191" i="5"/>
  <c r="K201" i="5"/>
  <c r="K203" i="5"/>
  <c r="K205" i="5"/>
  <c r="K196" i="5"/>
  <c r="K193" i="5"/>
  <c r="K200" i="5"/>
  <c r="K206" i="5"/>
  <c r="K202" i="5"/>
  <c r="K183" i="5"/>
  <c r="K188" i="5"/>
  <c r="K190" i="5"/>
  <c r="K184" i="5"/>
  <c r="K186" i="5"/>
  <c r="K198" i="5"/>
  <c r="K187" i="5"/>
  <c r="K195" i="5"/>
  <c r="K192" i="5"/>
  <c r="K185" i="5"/>
  <c r="K207" i="5"/>
  <c r="K194" i="5"/>
  <c r="K204" i="5"/>
  <c r="J826" i="5" l="1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E2" i="5"/>
  <c r="K2" i="5"/>
  <c r="K876" i="5"/>
  <c r="K938" i="5"/>
  <c r="K880" i="5"/>
  <c r="K873" i="5"/>
  <c r="K886" i="5"/>
  <c r="K929" i="5"/>
  <c r="K883" i="5"/>
  <c r="K904" i="5"/>
  <c r="K881" i="5"/>
  <c r="K836" i="5"/>
  <c r="K901" i="5"/>
  <c r="K832" i="5"/>
  <c r="K931" i="5"/>
  <c r="K866" i="5"/>
  <c r="K921" i="5"/>
  <c r="K870" i="5"/>
  <c r="K837" i="5"/>
  <c r="K909" i="5"/>
  <c r="K865" i="5"/>
  <c r="K936" i="5"/>
  <c r="K906" i="5"/>
  <c r="K934" i="5"/>
  <c r="K826" i="5"/>
  <c r="K894" i="5"/>
  <c r="K917" i="5"/>
  <c r="K923" i="5"/>
  <c r="K925" i="5"/>
  <c r="K927" i="5"/>
  <c r="K872" i="5"/>
  <c r="K887" i="5"/>
  <c r="K939" i="5"/>
  <c r="K898" i="5"/>
  <c r="K858" i="5"/>
  <c r="K868" i="5"/>
  <c r="K884" i="5"/>
  <c r="K902" i="5"/>
  <c r="K829" i="5"/>
  <c r="K900" i="5"/>
  <c r="K877" i="5"/>
  <c r="K920" i="5"/>
  <c r="K926" i="5"/>
  <c r="K871" i="5"/>
  <c r="K933" i="5"/>
  <c r="K885" i="5"/>
  <c r="K903" i="5"/>
  <c r="K850" i="5"/>
  <c r="K833" i="5"/>
  <c r="K835" i="5"/>
  <c r="K910" i="5"/>
  <c r="K919" i="5"/>
  <c r="K893" i="5"/>
  <c r="K862" i="5"/>
  <c r="K848" i="5"/>
  <c r="K864" i="5"/>
  <c r="K842" i="5"/>
  <c r="K922" i="5"/>
  <c r="K846" i="5"/>
  <c r="K896" i="5"/>
  <c r="K932" i="5"/>
  <c r="K878" i="5"/>
  <c r="K854" i="5"/>
  <c r="K827" i="5"/>
  <c r="K845" i="5"/>
  <c r="K911" i="5"/>
  <c r="K882" i="5"/>
  <c r="K840" i="5"/>
  <c r="K937" i="5"/>
  <c r="K841" i="5"/>
  <c r="K905" i="5"/>
  <c r="K828" i="5"/>
  <c r="K888" i="5"/>
  <c r="K853" i="5"/>
  <c r="K851" i="5"/>
  <c r="K830" i="5"/>
  <c r="K891" i="5"/>
  <c r="K879" i="5"/>
  <c r="K867" i="5"/>
  <c r="K847" i="5"/>
  <c r="K834" i="5"/>
  <c r="K856" i="5"/>
  <c r="K874" i="5"/>
  <c r="K852" i="5"/>
  <c r="K908" i="5"/>
  <c r="K860" i="5"/>
  <c r="K924" i="5"/>
  <c r="K897" i="5"/>
  <c r="K930" i="5"/>
  <c r="K907" i="5"/>
  <c r="K912" i="5"/>
  <c r="K863" i="5"/>
  <c r="K859" i="5"/>
  <c r="K889" i="5"/>
  <c r="K914" i="5"/>
  <c r="K839" i="5"/>
  <c r="K913" i="5"/>
  <c r="K857" i="5"/>
  <c r="K892" i="5"/>
  <c r="K890" i="5"/>
  <c r="K916" i="5"/>
  <c r="K928" i="5"/>
  <c r="K855" i="5"/>
  <c r="K849" i="5"/>
  <c r="K915" i="5"/>
  <c r="K895" i="5"/>
  <c r="K875" i="5"/>
  <c r="K935" i="5"/>
  <c r="K843" i="5"/>
  <c r="K838" i="5"/>
  <c r="K899" i="5"/>
  <c r="K844" i="5"/>
  <c r="K869" i="5"/>
  <c r="K861" i="5"/>
  <c r="K918" i="5"/>
  <c r="K831" i="5"/>
  <c r="J2" i="5" l="1"/>
</calcChain>
</file>

<file path=xl/sharedStrings.xml><?xml version="1.0" encoding="utf-8"?>
<sst xmlns="http://schemas.openxmlformats.org/spreadsheetml/2006/main" count="160" uniqueCount="148">
  <si>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</si>
  <si>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</si>
  <si>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</si>
  <si>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</si>
  <si>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</si>
  <si>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</si>
  <si>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</si>
  <si>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</si>
  <si>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</si>
  <si>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</si>
  <si>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</si>
  <si>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Firma Cihaz Tip</t>
  </si>
  <si>
    <t>Firma Kişi Tip</t>
  </si>
  <si>
    <t>Personel</t>
  </si>
  <si>
    <t>Yetkili</t>
  </si>
  <si>
    <t>Parse Metodu</t>
  </si>
  <si>
    <t>CSV Format</t>
  </si>
  <si>
    <t>Kelime Bazlı</t>
  </si>
  <si>
    <t>PDKS Log Alanları</t>
  </si>
  <si>
    <t>Kullanıcı ID</t>
  </si>
  <si>
    <t>Tarih</t>
  </si>
  <si>
    <t>Saat</t>
  </si>
  <si>
    <t>Yön</t>
  </si>
  <si>
    <t>Cihaz ID</t>
  </si>
  <si>
    <t>PDKS Yön</t>
  </si>
  <si>
    <t>Giriş</t>
  </si>
  <si>
    <t>Çıkış</t>
  </si>
  <si>
    <t>Alarm Tipi</t>
  </si>
  <si>
    <t>Hareket Algılama</t>
  </si>
  <si>
    <t>Kapı Açık</t>
  </si>
  <si>
    <t>Güvenlik İhlali</t>
  </si>
  <si>
    <t>Sistem Hatası</t>
  </si>
  <si>
    <t>Alarm Kapatıldı</t>
  </si>
  <si>
    <t>Alarm Seviyesi</t>
  </si>
  <si>
    <t>Düşük</t>
  </si>
  <si>
    <t>Orta</t>
  </si>
  <si>
    <t>Yüksek</t>
  </si>
  <si>
    <t>Kritik</t>
  </si>
  <si>
    <t>Kamera Olay Tipi</t>
  </si>
  <si>
    <t>Hareket</t>
  </si>
  <si>
    <t>Kayıt Başlama</t>
  </si>
  <si>
    <t>Kayıt Bitme</t>
  </si>
  <si>
    <t>Bağlantı Kesilmesi</t>
  </si>
  <si>
    <t>Pdks Cihazi (QR)</t>
  </si>
  <si>
    <t>Kamera</t>
  </si>
  <si>
    <t>Pdks</t>
  </si>
  <si>
    <t>Alarm</t>
  </si>
  <si>
    <t>Hareket Sensoru</t>
  </si>
  <si>
    <t>Hareket Sensörü(Kamera Üzerinde)</t>
  </si>
  <si>
    <t>Yangin Sensörü</t>
  </si>
  <si>
    <t>Su Sensörü</t>
  </si>
  <si>
    <t>Duman Dedektörü</t>
  </si>
  <si>
    <t>Kam Oly</t>
  </si>
  <si>
    <t>hrk</t>
  </si>
  <si>
    <t>kb</t>
  </si>
  <si>
    <t>bk</t>
  </si>
  <si>
    <t>Ayırıcı</t>
  </si>
  <si>
    <t>Noktalı Virgül</t>
  </si>
  <si>
    <t>Boşluk</t>
  </si>
  <si>
    <t>,</t>
  </si>
  <si>
    <t>;</t>
  </si>
  <si>
    <t>\t</t>
  </si>
  <si>
    <t>|</t>
  </si>
  <si>
    <t>-</t>
  </si>
  <si>
    <t>:</t>
  </si>
  <si>
    <t>Log Tarih Formatı</t>
  </si>
  <si>
    <t>yyyy-MM-dd</t>
  </si>
  <si>
    <t>dd/MM/yyyy</t>
  </si>
  <si>
    <t>MM/dd/yyyy</t>
  </si>
  <si>
    <t>dd.MM.yyyy</t>
  </si>
  <si>
    <t>MM.dd.yyyy</t>
  </si>
  <si>
    <t>yyyy/MM/dd</t>
  </si>
  <si>
    <t>dd-MM-yyyy</t>
  </si>
  <si>
    <t>MM-dd-yyyy</t>
  </si>
  <si>
    <t>SaatFormatı</t>
  </si>
  <si>
    <t>HH:mm:ss</t>
  </si>
  <si>
    <t>HH:mm</t>
  </si>
  <si>
    <t>hh:mm:ss a</t>
  </si>
  <si>
    <t>h:mm:ss a</t>
  </si>
  <si>
    <t>HH.mm.ss</t>
  </si>
  <si>
    <t>HH-mm-ss</t>
  </si>
  <si>
    <t>Log Alan Tipi</t>
  </si>
  <si>
    <t>AlanTipi</t>
  </si>
  <si>
    <t>string</t>
  </si>
  <si>
    <t>number</t>
  </si>
  <si>
    <t>date</t>
  </si>
  <si>
    <t>time</t>
  </si>
  <si>
    <t>datetime</t>
  </si>
  <si>
    <t>boolean</t>
  </si>
  <si>
    <t>Log Tanımlı Alan</t>
  </si>
  <si>
    <t>userId</t>
  </si>
  <si>
    <t>status</t>
  </si>
  <si>
    <t>action</t>
  </si>
  <si>
    <t>eventCode</t>
  </si>
  <si>
    <t>deviceId</t>
  </si>
  <si>
    <t>cardNo</t>
  </si>
  <si>
    <t>personelNo</t>
  </si>
  <si>
    <t>sicilNo</t>
  </si>
  <si>
    <t>message</t>
  </si>
  <si>
    <t>logLevel</t>
  </si>
  <si>
    <t>gateId</t>
  </si>
  <si>
    <t>direction</t>
  </si>
  <si>
    <t>ipAddress</t>
  </si>
  <si>
    <t>macAddress</t>
  </si>
  <si>
    <t>serialNumber</t>
  </si>
  <si>
    <t>firmwareVersion</t>
  </si>
  <si>
    <t>location</t>
  </si>
  <si>
    <t>Log Saat Formatı</t>
  </si>
  <si>
    <t>Metin</t>
  </si>
  <si>
    <t>Sayı</t>
  </si>
  <si>
    <t>Tarih-Saat</t>
  </si>
  <si>
    <t>Mantıksal</t>
  </si>
  <si>
    <t>Durum</t>
  </si>
  <si>
    <t>İşlem</t>
  </si>
  <si>
    <t>Olay Kodu</t>
  </si>
  <si>
    <t>Kart No</t>
  </si>
  <si>
    <t>Personel No</t>
  </si>
  <si>
    <t>Sicil No</t>
  </si>
  <si>
    <t>Mesaj</t>
  </si>
  <si>
    <t>Log Seviyesi</t>
  </si>
  <si>
    <t>Kapı ID</t>
  </si>
  <si>
    <t>IP Adresi</t>
  </si>
  <si>
    <t>MAC Adresi</t>
  </si>
  <si>
    <t>Seri No</t>
  </si>
  <si>
    <t>Yazılım Sürümü</t>
  </si>
  <si>
    <t>Konum</t>
  </si>
  <si>
    <t>TanımlıAlan</t>
  </si>
  <si>
    <t>Log Ayırıcı</t>
  </si>
  <si>
    <t>Virgül</t>
  </si>
  <si>
    <t>Tab</t>
  </si>
  <si>
    <t>Boru</t>
  </si>
  <si>
    <t>Tire</t>
  </si>
  <si>
    <t>İki Nokta</t>
  </si>
  <si>
    <t>TarihFormatı</t>
  </si>
  <si>
    <t>Yıl-Ay-Gün _1</t>
  </si>
  <si>
    <t>Gün/Ay/Yıl _2</t>
  </si>
  <si>
    <t>Ay/Gün/Yıl _3</t>
  </si>
  <si>
    <t>Gün.Ay.Yıl _4</t>
  </si>
  <si>
    <t>Ay.Gün.Yıl _5</t>
  </si>
  <si>
    <t>Yıl/Ay/Gün _6</t>
  </si>
  <si>
    <t>Gün-Ay-Yıl _7</t>
  </si>
  <si>
    <t>Ay-Gün-Yıl _8</t>
  </si>
  <si>
    <t>Saat:Dakika:Saniye _1</t>
  </si>
  <si>
    <t>Saat:Dakika _2</t>
  </si>
  <si>
    <t>12S:D:S AM/PM _3</t>
  </si>
  <si>
    <t>12S:D:S AM/PM (Tek) _4</t>
  </si>
  <si>
    <t>Saat-Dakika-Saniye _6</t>
  </si>
  <si>
    <t>Saat.Dakika.Saniye 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</si>
</sst>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0"/>
      <color rgb="FFCCCCCC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L939"/>
  <sheetViews>
    <sheetView tabSelected="1" topLeftCell="H1" zoomScale="85" zoomScaleNormal="85" workbookViewId="0">
      <pane ySplit="1" topLeftCell="A82" activePane="bottomLeft" state="frozen"/>
      <selection pane="bottomLeft" activeCell="I88" sqref="I88"/>
    </sheetView>
  </sheetViews>
  <sheetFormatPr defaultRowHeight="15" x14ac:dyDescent="0.25"/>
  <cols>
    <col min="1" max="1" width="13.140625" customWidth="1"/>
    <col min="2" max="2" width="4" bestFit="1" customWidth="1"/>
    <col min="3" max="3" width="4" customWidth="1"/>
    <col min="4" max="4" width="78.5703125" bestFit="1" customWidth="1"/>
    <col min="5" max="5" width="59" style="2" bestFit="1" customWidth="1"/>
    <col min="6" max="6" width="24.42578125" customWidth="1"/>
    <col min="7" max="8" width="60.28515625" customWidth="1"/>
    <col min="9" max="9" width="164.7109375" customWidth="1"/>
    <col min="10" max="10" width="35.5703125" customWidth="1"/>
  </cols>
  <sheetData>
    <row r="1" spans="1:12" s="3" customFormat="1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2" s="1" customFormat="1" x14ac:dyDescent="0.25">
      <c r="A2" s="1">
        <v>101</v>
      </c>
      <c r="B2" s="1">
        <v>0</v>
      </c>
      <c r="C2" s="1">
        <v>0</v>
      </c>
      <c r="D2" s="1" t="s">
        <v>11</v>
      </c>
      <c r="E2" s="2" t="str">
        <f>myfn_buyuk_harfe_cevir(myfn_turkceToIngilizce(myfn_bosluklariVeIsaretleridDuzenle(D2)))</f>
        <v>FIRMA_CIHAZ_TIP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(ID,TIP_ID,SIRA,KOD,KISA_AD,DIGER_UYG_ENUM_AD,DIGER_UYG_ID)VALUES(101,0,0,'Firma Cihaz Tip','',null,null);</v>
      </c>
      <c r="J2" s="1" t="str">
        <f t="shared" ref="J2" si="0">IF(AND(B2&lt;&gt;"",B2=0),CONCATENATE(" public enum ",E2,"{","
        }"),"")</f>
        <v xml:space="preserve"> public enum FIRMA_CIHAZ_TIP{
        }</v>
      </c>
      <c r="K2" s="1" t="str">
        <f>myfn_bosluklariVeIsaretleridDuzenle(myfn_bosluklariVeIsaretleridDuzenle(IF(B2&lt;&gt;0,CONCATENATE(E2,"=",A2,","),"")))</f>
        <v/>
      </c>
    </row>
    <row r="3" spans="1:12" x14ac:dyDescent="0.25">
      <c r="A3" s="5">
        <v>1010001</v>
      </c>
      <c r="B3" s="5">
        <v>101</v>
      </c>
      <c r="C3" s="5">
        <v>1</v>
      </c>
      <c r="D3" s="5" t="s">
        <v>43</v>
      </c>
      <c r="E3" s="2" t="str">
        <f>myfn_buyuk_harfe_cevir(myfn_turkceToIngilizce(myfn_bosluklariVeIsaretleridDuzenle(D3)))</f>
        <v>PDKS_CIHAZI_QR</v>
      </c>
      <c r="F3" s="1"/>
      <c r="G3" s="1"/>
      <c r="H3" s="1"/>
      <c r="I3" s="1" t="str">
        <f t="shared" ref="I3:I14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(ID,TIP_ID,SIRA,KOD,KISA_AD,DIGER_UYG_ENUM_AD,DIGER_UYG_ID)VALUES(1010001,101,1,'Pdks Cihazi (QR)','',null,null);</v>
      </c>
      <c r="J3" s="1" t="str">
        <f t="shared" ref="J3:J14" si="2">IF(AND(B3&lt;&gt;"",B3=0),CONCATENATE(" public enum ",E3,"{","
        }"),"")</f>
        <v/>
      </c>
      <c r="K3" s="1" t="str">
        <f>myfn_bosluklariVeIsaretleridDuzenle(myfn_bosluklariVeIsaretleridDuzenle(IF(B3&lt;&gt;0,CONCATENATE(E3,"=",A3,","),"")))</f>
        <v>PDKS_CIHAZI_QR=1010001,</v>
      </c>
      <c r="L3" s="1"/>
    </row>
    <row r="4" spans="1:12" x14ac:dyDescent="0.25">
      <c r="A4" s="5">
        <v>1010002</v>
      </c>
      <c r="B4" s="5">
        <v>101</v>
      </c>
      <c r="C4" s="5">
        <v>2</v>
      </c>
      <c r="D4" s="5" t="s">
        <v>44</v>
      </c>
      <c r="E4" s="2" t="str">
        <f>myfn_buyuk_harfe_cevir(myfn_turkceToIngilizce(myfn_bosluklariVeIsaretleridDuzenle(D4)))</f>
        <v>KAMERA</v>
      </c>
      <c r="F4" s="1"/>
      <c r="G4" s="1"/>
      <c r="H4" s="1"/>
      <c r="I4" s="1" t="str">
        <f t="shared" si="1"/>
        <v>INSERT INTO t_kod (ID,TIP_ID,SIRA,KOD,KISA_AD,DIGER_UYG_ENUM_AD,DIGER_UYG_ID)VALUES(1010002,101,2,'Kamera','',null,null);</v>
      </c>
      <c r="J4" s="1" t="str">
        <f t="shared" si="2"/>
        <v/>
      </c>
      <c r="K4" s="1" t="str">
        <f>myfn_bosluklariVeIsaretleridDuzenle(myfn_bosluklariVeIsaretleridDuzenle(IF(B4&lt;&gt;0,CONCATENATE(E4,"=",A4,","),"")))</f>
        <v>KAMERA=1010002,</v>
      </c>
      <c r="L4" s="1"/>
    </row>
    <row r="5" spans="1:12" x14ac:dyDescent="0.25">
      <c r="A5" s="5">
        <v>1010003</v>
      </c>
      <c r="B5" s="5">
        <v>101</v>
      </c>
      <c r="C5" s="5">
        <v>3</v>
      </c>
      <c r="D5" s="5" t="s">
        <v>45</v>
      </c>
      <c r="E5" s="2" t="str">
        <f>myfn_buyuk_harfe_cevir(myfn_turkceToIngilizce(myfn_bosluklariVeIsaretleridDuzenle(D5)))</f>
        <v>PDKS</v>
      </c>
      <c r="F5" s="1"/>
      <c r="G5" s="1"/>
      <c r="H5" s="1"/>
      <c r="I5" s="1" t="str">
        <f t="shared" si="1"/>
        <v>INSERT INTO t_kod (ID,TIP_ID,SIRA,KOD,KISA_AD,DIGER_UYG_ENUM_AD,DIGER_UYG_ID)VALUES(1010003,101,3,'Pdks','',null,null);</v>
      </c>
      <c r="J5" s="1" t="str">
        <f t="shared" si="2"/>
        <v/>
      </c>
      <c r="K5" s="1" t="str">
        <f>myfn_bosluklariVeIsaretleridDuzenle(myfn_bosluklariVeIsaretleridDuzenle(IF(B5&lt;&gt;0,CONCATENATE(E5,"=",A5,","),"")))</f>
        <v>PDKS=1010003,</v>
      </c>
      <c r="L5" s="1"/>
    </row>
    <row r="6" spans="1:12" x14ac:dyDescent="0.25">
      <c r="A6" s="5">
        <v>1010004</v>
      </c>
      <c r="B6" s="5">
        <v>101</v>
      </c>
      <c r="C6" s="5">
        <v>4</v>
      </c>
      <c r="D6" s="5" t="s">
        <v>46</v>
      </c>
      <c r="E6" s="2" t="str">
        <f>myfn_buyuk_harfe_cevir(myfn_turkceToIngilizce(myfn_bosluklariVeIsaretleridDuzenle(D6)))</f>
        <v>ALARM</v>
      </c>
      <c r="F6" s="1"/>
      <c r="G6" s="1"/>
      <c r="H6" s="1"/>
      <c r="I6" s="1" t="str">
        <f t="shared" si="1"/>
        <v>INSERT INTO t_kod (ID,TIP_ID,SIRA,KOD,KISA_AD,DIGER_UYG_ENUM_AD,DIGER_UYG_ID)VALUES(1010004,101,4,'Alarm','',null,null);</v>
      </c>
      <c r="J6" s="1" t="str">
        <f t="shared" si="2"/>
        <v/>
      </c>
      <c r="K6" s="1" t="str">
        <f>myfn_bosluklariVeIsaretleridDuzenle(myfn_bosluklariVeIsaretleridDuzenle(IF(B6&lt;&gt;0,CONCATENATE(E6,"=",A6,","),"")))</f>
        <v>ALARM=1010004,</v>
      </c>
      <c r="L6" s="1"/>
    </row>
    <row r="7" spans="1:12" x14ac:dyDescent="0.25">
      <c r="A7" s="5">
        <v>1010005</v>
      </c>
      <c r="B7" s="5">
        <v>101</v>
      </c>
      <c r="C7" s="5">
        <v>5</v>
      </c>
      <c r="D7" s="5" t="s">
        <v>47</v>
      </c>
      <c r="E7" s="2" t="str">
        <f>myfn_buyuk_harfe_cevir(myfn_turkceToIngilizce(myfn_bosluklariVeIsaretleridDuzenle(D7)))</f>
        <v>HAREKET_SENSORU</v>
      </c>
      <c r="F7" s="1"/>
      <c r="G7" s="1"/>
      <c r="H7" s="1"/>
      <c r="I7" s="1" t="str">
        <f t="shared" si="1"/>
        <v>INSERT INTO t_kod (ID,TIP_ID,SIRA,KOD,KISA_AD,DIGER_UYG_ENUM_AD,DIGER_UYG_ID)VALUES(1010005,101,5,'Hareket Sensoru','',null,null);</v>
      </c>
      <c r="J7" s="1" t="str">
        <f t="shared" si="2"/>
        <v/>
      </c>
      <c r="K7" s="1" t="str">
        <f>myfn_bosluklariVeIsaretleridDuzenle(myfn_bosluklariVeIsaretleridDuzenle(IF(B7&lt;&gt;0,CONCATENATE(E7,"=",A7,","),"")))</f>
        <v>HAREKET_SENSORU=1010005,</v>
      </c>
      <c r="L7" s="1"/>
    </row>
    <row r="8" spans="1:12" x14ac:dyDescent="0.25">
      <c r="A8" s="5">
        <v>1010006</v>
      </c>
      <c r="B8" s="5">
        <v>101</v>
      </c>
      <c r="C8" s="5">
        <v>6</v>
      </c>
      <c r="D8" s="5" t="s">
        <v>48</v>
      </c>
      <c r="E8" s="2" t="str">
        <f>myfn_buyuk_harfe_cevir(myfn_turkceToIngilizce(myfn_bosluklariVeIsaretleridDuzenle(D8)))</f>
        <v>HAREKET_SENSORU_KAMERA_UZERINDE</v>
      </c>
      <c r="F8" s="1"/>
      <c r="G8" s="1"/>
      <c r="H8" s="1"/>
      <c r="I8" s="1" t="str">
        <f t="shared" si="1"/>
        <v>INSERT INTO t_kod (ID,TIP_ID,SIRA,KOD,KISA_AD,DIGER_UYG_ENUM_AD,DIGER_UYG_ID)VALUES(1010006,101,6,'Hareket Sensörü(Kamera Üzerinde)','',null,null);</v>
      </c>
      <c r="J8" s="1" t="str">
        <f t="shared" si="2"/>
        <v/>
      </c>
      <c r="K8" s="1" t="str">
        <f>myfn_bosluklariVeIsaretleridDuzenle(myfn_bosluklariVeIsaretleridDuzenle(IF(B8&lt;&gt;0,CONCATENATE(E8,"=",A8,","),"")))</f>
        <v>HAREKET_SENSORU_KAMERA_UZERINDE=1010006,</v>
      </c>
      <c r="L8" s="1"/>
    </row>
    <row r="9" spans="1:12" x14ac:dyDescent="0.25">
      <c r="A9" s="5">
        <v>1010007</v>
      </c>
      <c r="B9" s="5">
        <v>101</v>
      </c>
      <c r="C9" s="5">
        <v>7</v>
      </c>
      <c r="D9" s="5" t="s">
        <v>49</v>
      </c>
      <c r="E9" s="2" t="str">
        <f>myfn_buyuk_harfe_cevir(myfn_turkceToIngilizce(myfn_bosluklariVeIsaretleridDuzenle(D9)))</f>
        <v>YANGIN_SENSORU</v>
      </c>
      <c r="F9" s="1"/>
      <c r="G9" s="1"/>
      <c r="H9" s="1"/>
      <c r="I9" s="1" t="str">
        <f t="shared" si="1"/>
        <v>INSERT INTO t_kod (ID,TIP_ID,SIRA,KOD,KISA_AD,DIGER_UYG_ENUM_AD,DIGER_UYG_ID)VALUES(1010007,101,7,'Yangin Sensörü','',null,null);</v>
      </c>
      <c r="J9" s="1" t="str">
        <f t="shared" si="2"/>
        <v/>
      </c>
      <c r="K9" s="1" t="str">
        <f>myfn_bosluklariVeIsaretleridDuzenle(myfn_bosluklariVeIsaretleridDuzenle(IF(B9&lt;&gt;0,CONCATENATE(E9,"=",A9,","),"")))</f>
        <v>YANGIN_SENSORU=1010007,</v>
      </c>
      <c r="L9" s="1"/>
    </row>
    <row r="10" spans="1:12" x14ac:dyDescent="0.25">
      <c r="A10" s="5">
        <v>1010008</v>
      </c>
      <c r="B10" s="5">
        <v>101</v>
      </c>
      <c r="C10" s="5">
        <v>8</v>
      </c>
      <c r="D10" s="5" t="s">
        <v>50</v>
      </c>
      <c r="E10" s="2" t="str">
        <f>myfn_buyuk_harfe_cevir(myfn_turkceToIngilizce(myfn_bosluklariVeIsaretleridDuzenle(D10)))</f>
        <v>SU_SENSORU</v>
      </c>
      <c r="F10" s="1"/>
      <c r="G10" s="1"/>
      <c r="H10" s="1"/>
      <c r="I10" s="1" t="str">
        <f t="shared" si="1"/>
        <v>INSERT INTO t_kod (ID,TIP_ID,SIRA,KOD,KISA_AD,DIGER_UYG_ENUM_AD,DIGER_UYG_ID)VALUES(1010008,101,8,'Su Sensörü','',null,null);</v>
      </c>
      <c r="J10" s="1" t="str">
        <f t="shared" si="2"/>
        <v/>
      </c>
      <c r="K10" s="1" t="str">
        <f>myfn_bosluklariVeIsaretleridDuzenle(myfn_bosluklariVeIsaretleridDuzenle(IF(B10&lt;&gt;0,CONCATENATE(E10,"=",A10,","),"")))</f>
        <v>SU_SENSORU=1010008,</v>
      </c>
      <c r="L10" s="1"/>
    </row>
    <row r="11" spans="1:12" x14ac:dyDescent="0.25">
      <c r="A11" s="5">
        <v>1010009</v>
      </c>
      <c r="B11" s="5">
        <v>101</v>
      </c>
      <c r="C11" s="5">
        <v>9</v>
      </c>
      <c r="D11" s="5" t="s">
        <v>51</v>
      </c>
      <c r="E11" s="2" t="str">
        <f>myfn_buyuk_harfe_cevir(myfn_turkceToIngilizce(myfn_bosluklariVeIsaretleridDuzenle(D11)))</f>
        <v>DUMAN_DEDEKTORU</v>
      </c>
      <c r="F11" s="1"/>
      <c r="G11" s="1"/>
      <c r="H11" s="1"/>
      <c r="I11" s="1" t="str">
        <f t="shared" si="1"/>
        <v>INSERT INTO t_kod (ID,TIP_ID,SIRA,KOD,KISA_AD,DIGER_UYG_ENUM_AD,DIGER_UYG_ID)VALUES(1010009,101,9,'Duman Dedektörü','',null,null);</v>
      </c>
      <c r="J11" s="1" t="str">
        <f t="shared" si="2"/>
        <v/>
      </c>
      <c r="K11" s="1" t="str">
        <f>myfn_bosluklariVeIsaretleridDuzenle(myfn_bosluklariVeIsaretleridDuzenle(IF(B11&lt;&gt;0,CONCATENATE(E11,"=",A11,","),"")))</f>
        <v>DUMAN_DEDEKTORU=1010009,</v>
      </c>
      <c r="L11" s="1"/>
    </row>
    <row r="12" spans="1:12" x14ac:dyDescent="0.25">
      <c r="B12" s="1"/>
      <c r="E12" s="2" t="str">
        <f>myfn_buyuk_harfe_cevir(myfn_turkceToIngilizce(myfn_bosluklariVeIsaretleridDuzenle(D12)))</f>
        <v/>
      </c>
      <c r="F12" s="1"/>
      <c r="G12" s="1"/>
      <c r="H12" s="1"/>
      <c r="I12" s="1" t="str">
        <f t="shared" si="1"/>
        <v/>
      </c>
      <c r="J12" s="1" t="str">
        <f t="shared" si="2"/>
        <v/>
      </c>
      <c r="K12" s="1" t="str">
        <f>myfn_bosluklariVeIsaretleridDuzenle(myfn_bosluklariVeIsaretleridDuzenle(IF(B12&lt;&gt;0,CONCATENATE(E12,"=",A12,","),"")))</f>
        <v/>
      </c>
      <c r="L12" s="1"/>
    </row>
    <row r="13" spans="1:12" x14ac:dyDescent="0.25">
      <c r="B13" s="1"/>
      <c r="E13" s="2" t="str">
        <f>myfn_buyuk_harfe_cevir(myfn_turkceToIngilizce(myfn_bosluklariVeIsaretleridDuzenle(D13)))</f>
        <v/>
      </c>
      <c r="F13" s="1"/>
      <c r="G13" s="1"/>
      <c r="H13" s="1"/>
      <c r="I13" s="1" t="str">
        <f t="shared" si="1"/>
        <v/>
      </c>
      <c r="J13" s="1" t="str">
        <f t="shared" si="2"/>
        <v/>
      </c>
      <c r="K13" s="1" t="str">
        <f>myfn_bosluklariVeIsaretleridDuzenle(myfn_bosluklariVeIsaretleridDuzenle(IF(B13&lt;&gt;0,CONCATENATE(E13,"=",A13,","),"")))</f>
        <v/>
      </c>
      <c r="L13" s="1"/>
    </row>
    <row r="14" spans="1:12" x14ac:dyDescent="0.25">
      <c r="B14" s="1"/>
      <c r="E14" s="2" t="str">
        <f>myfn_buyuk_harfe_cevir(myfn_turkceToIngilizce(myfn_bosluklariVeIsaretleridDuzenle(D14)))</f>
        <v/>
      </c>
      <c r="F14" s="1"/>
      <c r="G14" s="1"/>
      <c r="H14" s="1"/>
      <c r="I14" s="1" t="str">
        <f t="shared" si="1"/>
        <v/>
      </c>
      <c r="J14" s="1" t="str">
        <f t="shared" si="2"/>
        <v/>
      </c>
      <c r="K14" s="1" t="str">
        <f>myfn_bosluklariVeIsaretleridDuzenle(myfn_bosluklariVeIsaretleridDuzenle(IF(B14&lt;&gt;0,CONCATENATE(E14,"=",A14,","),"")))</f>
        <v/>
      </c>
      <c r="L14" s="1"/>
    </row>
    <row r="15" spans="1:12" x14ac:dyDescent="0.25">
      <c r="B15" s="1"/>
      <c r="E15" s="2" t="str">
        <f>myfn_buyuk_harfe_cevir(myfn_turkceToIngilizce(myfn_bosluklariVeIsaretleridDuzenle(D15)))</f>
        <v/>
      </c>
      <c r="F15" s="1"/>
      <c r="G15" s="1"/>
      <c r="H15" s="1"/>
      <c r="I15" s="1" t="str">
        <f t="shared" ref="I15:I78" si="3">IF(AND(B15&lt;&gt;""),CONCATENATE("INSERT INTO t_kod (ID,TIP_ID,SIRA,KOD,KISA_AD,DIGER_UYG_ENUM_AD,DIGER_UYG_ID)VALUES(",A15,",",B15,",",C15,,",","'",D15,"'",",","'",F15,"'",",",IF(_xlfn.IFNA(G15,0)&gt;0,CONCATENATE("'",G15,"'"),"null"),",",IF(_xlfn.IFNA(G15,0)&gt;0,CONCATENATE("'",H15,"'"),"null"),");"),"")</f>
        <v/>
      </c>
      <c r="J15" s="1" t="str">
        <f t="shared" ref="J15:J70" si="4">IF(AND(B15&lt;&gt;"",B15=0),CONCATENATE(" public enum ",E15,"{","
        }"),"")</f>
        <v/>
      </c>
      <c r="K15" s="1" t="str">
        <f>myfn_bosluklariVeIsaretleridDuzenle(myfn_bosluklariVeIsaretleridDuzenle(IF(B15&lt;&gt;0,CONCATENATE(E15,"=",A15,","),"")))</f>
        <v/>
      </c>
      <c r="L15" s="1"/>
    </row>
    <row r="16" spans="1:12" s="1" customFormat="1" x14ac:dyDescent="0.25">
      <c r="A16" s="1">
        <v>102</v>
      </c>
      <c r="B16" s="1">
        <v>0</v>
      </c>
      <c r="C16" s="1">
        <v>0</v>
      </c>
      <c r="D16" s="1" t="s">
        <v>12</v>
      </c>
      <c r="E16" s="2" t="str">
        <f>myfn_buyuk_harfe_cevir(myfn_turkceToIngilizce(myfn_bosluklariVeIsaretleridDuzenle(D16)))</f>
        <v>FIRMA_KISI_TIP</v>
      </c>
      <c r="I16" s="1" t="str">
        <f t="shared" si="3"/>
        <v>INSERT INTO t_kod (ID,TIP_ID,SIRA,KOD,KISA_AD,DIGER_UYG_ENUM_AD,DIGER_UYG_ID)VALUES(102,0,0,'Firma Kişi Tip','',null,null);</v>
      </c>
      <c r="J16" s="1" t="str">
        <f t="shared" si="4"/>
        <v xml:space="preserve"> public enum FIRMA_KISI_TIP{
        }</v>
      </c>
      <c r="K16" s="1" t="str">
        <f>myfn_bosluklariVeIsaretleridDuzenle(myfn_bosluklariVeIsaretleridDuzenle(IF(B16&lt;&gt;0,CONCATENATE(E16,"=",A16,","),"")))</f>
        <v/>
      </c>
    </row>
    <row r="17" spans="1:12" x14ac:dyDescent="0.25">
      <c r="A17">
        <v>1020001</v>
      </c>
      <c r="B17" s="1">
        <v>102</v>
      </c>
      <c r="C17">
        <v>1</v>
      </c>
      <c r="D17" t="s">
        <v>13</v>
      </c>
      <c r="E17" s="2" t="str">
        <f>myfn_buyuk_harfe_cevir(myfn_turkceToIngilizce(myfn_bosluklariVeIsaretleridDuzenle(D17)))</f>
        <v>PERSONEL</v>
      </c>
      <c r="F17" s="1"/>
      <c r="G17" s="1"/>
      <c r="H17" s="1"/>
      <c r="I17" s="1" t="str">
        <f t="shared" si="3"/>
        <v>INSERT INTO t_kod (ID,TIP_ID,SIRA,KOD,KISA_AD,DIGER_UYG_ENUM_AD,DIGER_UYG_ID)VALUES(1020001,102,1,'Personel','',null,null);</v>
      </c>
      <c r="J17" s="1" t="str">
        <f t="shared" si="4"/>
        <v/>
      </c>
      <c r="K17" s="1" t="str">
        <f>myfn_bosluklariVeIsaretleridDuzenle(myfn_bosluklariVeIsaretleridDuzenle(IF(B17&lt;&gt;0,CONCATENATE(E17,"=",A17,","),"")))</f>
        <v>PERSONEL=1020001,</v>
      </c>
      <c r="L17" s="1"/>
    </row>
    <row r="18" spans="1:12" x14ac:dyDescent="0.25">
      <c r="A18">
        <v>1020002</v>
      </c>
      <c r="B18" s="1">
        <v>102</v>
      </c>
      <c r="C18">
        <v>2</v>
      </c>
      <c r="D18" t="s">
        <v>14</v>
      </c>
      <c r="E18" s="2" t="str">
        <f>myfn_buyuk_harfe_cevir(myfn_turkceToIngilizce(myfn_bosluklariVeIsaretleridDuzenle(D18)))</f>
        <v>YETKILI</v>
      </c>
      <c r="F18" s="1"/>
      <c r="G18" s="1"/>
      <c r="H18" s="1"/>
      <c r="I18" s="1" t="str">
        <f t="shared" si="3"/>
        <v>INSERT INTO t_kod (ID,TIP_ID,SIRA,KOD,KISA_AD,DIGER_UYG_ENUM_AD,DIGER_UYG_ID)VALUES(1020002,102,2,'Yetkili','',null,null);</v>
      </c>
      <c r="J18" s="1" t="str">
        <f t="shared" si="4"/>
        <v/>
      </c>
      <c r="K18" s="1" t="str">
        <f>myfn_bosluklariVeIsaretleridDuzenle(myfn_bosluklariVeIsaretleridDuzenle(IF(B18&lt;&gt;0,CONCATENATE(E18,"=",A18,","),"")))</f>
        <v>YETKILI=1020002,</v>
      </c>
      <c r="L18" s="1"/>
    </row>
    <row r="19" spans="1:12" x14ac:dyDescent="0.25">
      <c r="B19" s="1"/>
      <c r="E19" s="2" t="str">
        <f>myfn_buyuk_harfe_cevir(myfn_turkceToIngilizce(myfn_bosluklariVeIsaretleridDuzenle(D19)))</f>
        <v/>
      </c>
      <c r="F19" s="1"/>
      <c r="G19" s="1"/>
      <c r="H19" s="1"/>
      <c r="I19" s="1" t="str">
        <f t="shared" si="3"/>
        <v/>
      </c>
      <c r="J19" s="1" t="str">
        <f t="shared" si="4"/>
        <v/>
      </c>
      <c r="K19" s="1" t="str">
        <f>myfn_bosluklariVeIsaretleridDuzenle(myfn_bosluklariVeIsaretleridDuzenle(IF(B19&lt;&gt;0,CONCATENATE(E19,"=",A19,","),"")))</f>
        <v/>
      </c>
      <c r="L19" s="1"/>
    </row>
    <row r="20" spans="1:12" s="1" customFormat="1" x14ac:dyDescent="0.25">
      <c r="E20" s="2" t="str">
        <f>myfn_buyuk_harfe_cevir(myfn_turkceToIngilizce(myfn_bosluklariVeIsaretleridDuzenle(D20)))</f>
        <v/>
      </c>
      <c r="I20" s="1" t="str">
        <f t="shared" si="3"/>
        <v/>
      </c>
      <c r="J20" s="1" t="str">
        <f t="shared" si="4"/>
        <v/>
      </c>
      <c r="K20" s="1" t="str">
        <f>myfn_bosluklariVeIsaretleridDuzenle(myfn_bosluklariVeIsaretleridDuzenle(IF(B20&lt;&gt;0,CONCATENATE(E20,"=",A20,","),"")))</f>
        <v/>
      </c>
    </row>
    <row r="21" spans="1:12" x14ac:dyDescent="0.25">
      <c r="B21" s="1"/>
      <c r="E21" s="2" t="str">
        <f>myfn_buyuk_harfe_cevir(myfn_turkceToIngilizce(myfn_bosluklariVeIsaretleridDuzenle(D21)))</f>
        <v/>
      </c>
      <c r="F21" s="1"/>
      <c r="G21" s="1"/>
      <c r="H21" s="1"/>
      <c r="I21" s="1" t="str">
        <f t="shared" si="3"/>
        <v/>
      </c>
      <c r="J21" s="1" t="str">
        <f t="shared" si="4"/>
        <v/>
      </c>
      <c r="K21" s="1" t="str">
        <f>myfn_bosluklariVeIsaretleridDuzenle(myfn_bosluklariVeIsaretleridDuzenle(IF(B21&lt;&gt;0,CONCATENATE(E21,"=",A21,","),"")))</f>
        <v/>
      </c>
      <c r="L21" s="1"/>
    </row>
    <row r="22" spans="1:12" x14ac:dyDescent="0.25">
      <c r="A22">
        <v>205</v>
      </c>
      <c r="B22" s="1">
        <v>0</v>
      </c>
      <c r="C22">
        <v>0</v>
      </c>
      <c r="D22" t="s">
        <v>15</v>
      </c>
      <c r="E22" s="2" t="str">
        <f>myfn_buyuk_harfe_cevir(myfn_turkceToIngilizce(myfn_bosluklariVeIsaretleridDuzenle(D22)))</f>
        <v>PARSE_METODU</v>
      </c>
      <c r="F22" s="1"/>
      <c r="G22" s="1"/>
      <c r="H22" s="1"/>
      <c r="I22" s="1" t="str">
        <f t="shared" si="3"/>
        <v>INSERT INTO t_kod (ID,TIP_ID,SIRA,KOD,KISA_AD,DIGER_UYG_ENUM_AD,DIGER_UYG_ID)VALUES(205,0,0,'Parse Metodu','',null,null);</v>
      </c>
      <c r="J22" s="1" t="str">
        <f t="shared" si="4"/>
        <v xml:space="preserve"> public enum PARSE_METODU{
        }</v>
      </c>
      <c r="K22" s="1" t="str">
        <f>myfn_bosluklariVeIsaretleridDuzenle(myfn_bosluklariVeIsaretleridDuzenle(IF(B22&lt;&gt;0,CONCATENATE(E22,"=",A22,","),"")))</f>
        <v/>
      </c>
      <c r="L22" s="1"/>
    </row>
    <row r="23" spans="1:12" x14ac:dyDescent="0.25">
      <c r="A23">
        <v>2050001</v>
      </c>
      <c r="B23" s="1">
        <v>205</v>
      </c>
      <c r="C23">
        <v>1</v>
      </c>
      <c r="D23" t="s">
        <v>16</v>
      </c>
      <c r="E23" s="2" t="str">
        <f>myfn_buyuk_harfe_cevir(myfn_turkceToIngilizce(myfn_bosluklariVeIsaretleridDuzenle(D23)))</f>
        <v>CSV_FORMAT</v>
      </c>
      <c r="F23" s="1"/>
      <c r="G23" s="1"/>
      <c r="H23" s="1"/>
      <c r="I23" s="1" t="str">
        <f t="shared" si="3"/>
        <v>INSERT INTO t_kod (ID,TIP_ID,SIRA,KOD,KISA_AD,DIGER_UYG_ENUM_AD,DIGER_UYG_ID)VALUES(2050001,205,1,'CSV Format','',null,null);</v>
      </c>
      <c r="J23" s="1" t="str">
        <f t="shared" si="4"/>
        <v/>
      </c>
      <c r="K23" s="1" t="str">
        <f>myfn_bosluklariVeIsaretleridDuzenle(myfn_bosluklariVeIsaretleridDuzenle(IF(B23&lt;&gt;0,CONCATENATE(E23,"=",A23,","),"")))</f>
        <v>CSV_FORMAT=2050001,</v>
      </c>
      <c r="L23" s="1"/>
    </row>
    <row r="24" spans="1:12" x14ac:dyDescent="0.25">
      <c r="A24">
        <v>2050002</v>
      </c>
      <c r="B24" s="1">
        <v>205</v>
      </c>
      <c r="C24">
        <v>2</v>
      </c>
      <c r="D24" t="s">
        <v>17</v>
      </c>
      <c r="E24" s="2" t="str">
        <f>myfn_buyuk_harfe_cevir(myfn_turkceToIngilizce(myfn_bosluklariVeIsaretleridDuzenle(D24)))</f>
        <v>KELIME_BAZLI</v>
      </c>
      <c r="F24" s="1"/>
      <c r="G24" s="1"/>
      <c r="H24" s="1"/>
      <c r="I24" s="1" t="str">
        <f t="shared" si="3"/>
        <v>INSERT INTO t_kod (ID,TIP_ID,SIRA,KOD,KISA_AD,DIGER_UYG_ENUM_AD,DIGER_UYG_ID)VALUES(2050002,205,2,'Kelime Bazlı','',null,null);</v>
      </c>
      <c r="J24" s="1" t="str">
        <f t="shared" si="4"/>
        <v/>
      </c>
      <c r="K24" s="1" t="str">
        <f>myfn_bosluklariVeIsaretleridDuzenle(myfn_bosluklariVeIsaretleridDuzenle(IF(B24&lt;&gt;0,CONCATENATE(E24,"=",A24,","),"")))</f>
        <v>KELIME_BAZLI=2050002,</v>
      </c>
      <c r="L24" s="1"/>
    </row>
    <row r="25" spans="1:12" x14ac:dyDescent="0.25">
      <c r="B25" s="1"/>
      <c r="E25" s="2" t="str">
        <f>myfn_buyuk_harfe_cevir(myfn_turkceToIngilizce(myfn_bosluklariVeIsaretleridDuzenle(D25)))</f>
        <v/>
      </c>
      <c r="F25" s="1"/>
      <c r="G25" s="1"/>
      <c r="H25" s="1"/>
      <c r="I25" s="1" t="str">
        <f t="shared" si="3"/>
        <v/>
      </c>
      <c r="J25" s="1" t="str">
        <f t="shared" si="4"/>
        <v/>
      </c>
      <c r="K25" s="1" t="str">
        <f>myfn_bosluklariVeIsaretleridDuzenle(myfn_bosluklariVeIsaretleridDuzenle(IF(B25&lt;&gt;0,CONCATENATE(E25,"=",A25,","),"")))</f>
        <v/>
      </c>
      <c r="L25" s="1"/>
    </row>
    <row r="26" spans="1:12" x14ac:dyDescent="0.25">
      <c r="A26">
        <v>206</v>
      </c>
      <c r="B26" s="1">
        <v>0</v>
      </c>
      <c r="C26">
        <v>0</v>
      </c>
      <c r="D26" t="s">
        <v>18</v>
      </c>
      <c r="E26" s="2" t="str">
        <f>myfn_buyuk_harfe_cevir(myfn_turkceToIngilizce(myfn_bosluklariVeIsaretleridDuzenle(D26)))</f>
        <v>PDKS_LOG_ALANLARI</v>
      </c>
      <c r="F26" s="1"/>
      <c r="G26" s="1"/>
      <c r="H26" s="1"/>
      <c r="I26" s="1" t="str">
        <f t="shared" si="3"/>
        <v>INSERT INTO t_kod (ID,TIP_ID,SIRA,KOD,KISA_AD,DIGER_UYG_ENUM_AD,DIGER_UYG_ID)VALUES(206,0,0,'PDKS Log Alanları','',null,null);</v>
      </c>
      <c r="J26" s="1" t="str">
        <f t="shared" si="4"/>
        <v xml:space="preserve"> public enum PDKS_LOG_ALANLARI{
        }</v>
      </c>
      <c r="K26" s="1" t="str">
        <f>myfn_bosluklariVeIsaretleridDuzenle(myfn_bosluklariVeIsaretleridDuzenle(IF(B26&lt;&gt;0,CONCATENATE(E26,"=",A26,","),"")))</f>
        <v/>
      </c>
      <c r="L26" s="1"/>
    </row>
    <row r="27" spans="1:12" x14ac:dyDescent="0.25">
      <c r="A27">
        <v>2060001</v>
      </c>
      <c r="B27" s="1">
        <v>206</v>
      </c>
      <c r="C27">
        <v>1</v>
      </c>
      <c r="D27" t="s">
        <v>19</v>
      </c>
      <c r="E27" s="2" t="str">
        <f>myfn_buyuk_harfe_cevir(myfn_turkceToIngilizce(myfn_bosluklariVeIsaretleridDuzenle(D27)))</f>
        <v>KULLANICI_ID</v>
      </c>
      <c r="F27" s="1"/>
      <c r="G27" s="1"/>
      <c r="H27" s="1"/>
      <c r="I27" s="1" t="str">
        <f t="shared" si="3"/>
        <v>INSERT INTO t_kod (ID,TIP_ID,SIRA,KOD,KISA_AD,DIGER_UYG_ENUM_AD,DIGER_UYG_ID)VALUES(2060001,206,1,'Kullanıcı ID','',null,null);</v>
      </c>
      <c r="J27" s="1" t="str">
        <f t="shared" si="4"/>
        <v/>
      </c>
      <c r="K27" s="1" t="str">
        <f>myfn_bosluklariVeIsaretleridDuzenle(myfn_bosluklariVeIsaretleridDuzenle(IF(B27&lt;&gt;0,CONCATENATE(E27,"=",A27,","),"")))</f>
        <v>KULLANICI_ID=2060001,</v>
      </c>
      <c r="L27" s="1"/>
    </row>
    <row r="28" spans="1:12" x14ac:dyDescent="0.25">
      <c r="A28">
        <v>2060002</v>
      </c>
      <c r="B28" s="1">
        <v>206</v>
      </c>
      <c r="C28">
        <v>2</v>
      </c>
      <c r="D28" t="s">
        <v>20</v>
      </c>
      <c r="E28" s="2" t="str">
        <f>myfn_buyuk_harfe_cevir(myfn_turkceToIngilizce(myfn_bosluklariVeIsaretleridDuzenle(D28)))</f>
        <v>TARIH</v>
      </c>
      <c r="F28" s="1"/>
      <c r="G28" s="1"/>
      <c r="H28" s="1"/>
      <c r="I28" s="1" t="str">
        <f t="shared" si="3"/>
        <v>INSERT INTO t_kod (ID,TIP_ID,SIRA,KOD,KISA_AD,DIGER_UYG_ENUM_AD,DIGER_UYG_ID)VALUES(2060002,206,2,'Tarih','',null,null);</v>
      </c>
      <c r="J28" s="1" t="str">
        <f t="shared" si="4"/>
        <v/>
      </c>
      <c r="K28" s="1" t="str">
        <f>myfn_bosluklariVeIsaretleridDuzenle(myfn_bosluklariVeIsaretleridDuzenle(IF(B28&lt;&gt;0,CONCATENATE(E28,"=",A28,","),"")))</f>
        <v>TARIH=2060002,</v>
      </c>
      <c r="L28" s="1"/>
    </row>
    <row r="29" spans="1:12" x14ac:dyDescent="0.25">
      <c r="A29">
        <v>2060003</v>
      </c>
      <c r="B29" s="1">
        <v>206</v>
      </c>
      <c r="C29">
        <v>3</v>
      </c>
      <c r="D29" t="s">
        <v>21</v>
      </c>
      <c r="E29" s="2" t="str">
        <f>myfn_buyuk_harfe_cevir(myfn_turkceToIngilizce(myfn_bosluklariVeIsaretleridDuzenle(D29)))</f>
        <v>SAAT</v>
      </c>
      <c r="F29" s="1"/>
      <c r="G29" s="1"/>
      <c r="H29" s="1"/>
      <c r="I29" s="1" t="str">
        <f t="shared" si="3"/>
        <v>INSERT INTO t_kod (ID,TIP_ID,SIRA,KOD,KISA_AD,DIGER_UYG_ENUM_AD,DIGER_UYG_ID)VALUES(2060003,206,3,'Saat','',null,null);</v>
      </c>
      <c r="J29" s="1" t="str">
        <f t="shared" si="4"/>
        <v/>
      </c>
      <c r="K29" s="1" t="str">
        <f>myfn_bosluklariVeIsaretleridDuzenle(myfn_bosluklariVeIsaretleridDuzenle(IF(B29&lt;&gt;0,CONCATENATE(E29,"=",A29,","),"")))</f>
        <v>SAAT=2060003,</v>
      </c>
      <c r="L29" s="1"/>
    </row>
    <row r="30" spans="1:12" x14ac:dyDescent="0.25">
      <c r="A30">
        <v>2060004</v>
      </c>
      <c r="B30" s="1">
        <v>206</v>
      </c>
      <c r="C30">
        <v>4</v>
      </c>
      <c r="D30" t="s">
        <v>22</v>
      </c>
      <c r="E30" s="2" t="str">
        <f>myfn_buyuk_harfe_cevir(myfn_turkceToIngilizce(myfn_bosluklariVeIsaretleridDuzenle(D30)))</f>
        <v>YON</v>
      </c>
      <c r="F30" s="1"/>
      <c r="G30" s="1"/>
      <c r="H30" s="1"/>
      <c r="I30" s="1" t="str">
        <f t="shared" si="3"/>
        <v>INSERT INTO t_kod (ID,TIP_ID,SIRA,KOD,KISA_AD,DIGER_UYG_ENUM_AD,DIGER_UYG_ID)VALUES(2060004,206,4,'Yön','',null,null);</v>
      </c>
      <c r="J30" s="1" t="str">
        <f t="shared" si="4"/>
        <v/>
      </c>
      <c r="K30" s="1" t="str">
        <f>myfn_bosluklariVeIsaretleridDuzenle(myfn_bosluklariVeIsaretleridDuzenle(IF(B30&lt;&gt;0,CONCATENATE(E30,"=",A30,","),"")))</f>
        <v>YON=2060004,</v>
      </c>
      <c r="L30" s="1"/>
    </row>
    <row r="31" spans="1:12" x14ac:dyDescent="0.25">
      <c r="A31">
        <v>2060005</v>
      </c>
      <c r="B31" s="1">
        <v>206</v>
      </c>
      <c r="C31">
        <v>5</v>
      </c>
      <c r="D31" t="s">
        <v>23</v>
      </c>
      <c r="E31" s="2" t="str">
        <f>myfn_buyuk_harfe_cevir(myfn_turkceToIngilizce(myfn_bosluklariVeIsaretleridDuzenle(D31)))</f>
        <v>CIHAZ_ID</v>
      </c>
      <c r="F31" s="1"/>
      <c r="G31" s="1"/>
      <c r="H31" s="1"/>
      <c r="I31" s="1" t="str">
        <f t="shared" si="3"/>
        <v>INSERT INTO t_kod (ID,TIP_ID,SIRA,KOD,KISA_AD,DIGER_UYG_ENUM_AD,DIGER_UYG_ID)VALUES(2060005,206,5,'Cihaz ID','',null,null);</v>
      </c>
      <c r="J31" s="1" t="str">
        <f t="shared" si="4"/>
        <v/>
      </c>
      <c r="K31" s="1" t="str">
        <f>myfn_bosluklariVeIsaretleridDuzenle(myfn_bosluklariVeIsaretleridDuzenle(IF(B31&lt;&gt;0,CONCATENATE(E31,"=",A31,","),"")))</f>
        <v>CIHAZ_ID=2060005,</v>
      </c>
      <c r="L31" s="1"/>
    </row>
    <row r="32" spans="1:12" x14ac:dyDescent="0.25">
      <c r="E32" s="2" t="str">
        <f>myfn_buyuk_harfe_cevir(myfn_turkceToIngilizce(myfn_bosluklariVeIsaretleridDuzenle(D32)))</f>
        <v/>
      </c>
      <c r="F32" s="1"/>
      <c r="G32" s="1"/>
      <c r="H32" s="1"/>
      <c r="I32" s="1" t="str">
        <f t="shared" si="3"/>
        <v/>
      </c>
      <c r="J32" s="1" t="str">
        <f t="shared" si="4"/>
        <v/>
      </c>
      <c r="K32" s="1" t="str">
        <f>myfn_bosluklariVeIsaretleridDuzenle(myfn_bosluklariVeIsaretleridDuzenle(IF(B32&lt;&gt;0,CONCATENATE(E32,"=",A32,","),"")))</f>
        <v/>
      </c>
      <c r="L32" s="1"/>
    </row>
    <row r="33" spans="1:12" x14ac:dyDescent="0.25">
      <c r="A33">
        <v>207</v>
      </c>
      <c r="B33" s="1">
        <v>0</v>
      </c>
      <c r="C33">
        <v>0</v>
      </c>
      <c r="D33" t="s">
        <v>24</v>
      </c>
      <c r="E33" s="2" t="str">
        <f>myfn_buyuk_harfe_cevir(myfn_turkceToIngilizce(myfn_bosluklariVeIsaretleridDuzenle(D33)))</f>
        <v>PDKS_YON</v>
      </c>
      <c r="F33" s="1"/>
      <c r="G33" s="1"/>
      <c r="H33" s="1"/>
      <c r="I33" s="1" t="str">
        <f t="shared" si="3"/>
        <v>INSERT INTO t_kod (ID,TIP_ID,SIRA,KOD,KISA_AD,DIGER_UYG_ENUM_AD,DIGER_UYG_ID)VALUES(207,0,0,'PDKS Yön','',null,null);</v>
      </c>
      <c r="J33" s="1" t="str">
        <f t="shared" si="4"/>
        <v xml:space="preserve"> public enum PDKS_YON{
        }</v>
      </c>
      <c r="K33" s="1" t="str">
        <f>myfn_bosluklariVeIsaretleridDuzenle(myfn_bosluklariVeIsaretleridDuzenle(IF(B33&lt;&gt;0,CONCATENATE(E33,"=",A33,","),"")))</f>
        <v/>
      </c>
      <c r="L33" s="1"/>
    </row>
    <row r="34" spans="1:12" s="1" customFormat="1" x14ac:dyDescent="0.25">
      <c r="A34" s="1">
        <v>2070001</v>
      </c>
      <c r="B34" s="1">
        <v>207</v>
      </c>
      <c r="C34" s="1">
        <v>1</v>
      </c>
      <c r="D34" s="1" t="s">
        <v>25</v>
      </c>
      <c r="E34" s="2" t="str">
        <f>myfn_buyuk_harfe_cevir(myfn_turkceToIngilizce(myfn_bosluklariVeIsaretleridDuzenle(D34)))</f>
        <v>GIRIS</v>
      </c>
      <c r="I34" s="1" t="str">
        <f t="shared" si="3"/>
        <v>INSERT INTO t_kod (ID,TIP_ID,SIRA,KOD,KISA_AD,DIGER_UYG_ENUM_AD,DIGER_UYG_ID)VALUES(2070001,207,1,'Giriş','',null,null);</v>
      </c>
      <c r="J34" s="1" t="str">
        <f t="shared" si="4"/>
        <v/>
      </c>
      <c r="K34" s="1" t="str">
        <f>myfn_bosluklariVeIsaretleridDuzenle(myfn_bosluklariVeIsaretleridDuzenle(IF(B34&lt;&gt;0,CONCATENATE(E34,"=",A34,","),"")))</f>
        <v>GIRIS=2070001,</v>
      </c>
    </row>
    <row r="35" spans="1:12" x14ac:dyDescent="0.25">
      <c r="A35">
        <v>2070002</v>
      </c>
      <c r="B35" s="1">
        <v>207</v>
      </c>
      <c r="C35">
        <v>2</v>
      </c>
      <c r="D35" t="s">
        <v>26</v>
      </c>
      <c r="E35" s="2" t="str">
        <f>myfn_buyuk_harfe_cevir(myfn_turkceToIngilizce(myfn_bosluklariVeIsaretleridDuzenle(D35)))</f>
        <v>CIKIS</v>
      </c>
      <c r="F35" s="1"/>
      <c r="G35" s="1"/>
      <c r="H35" s="1"/>
      <c r="I35" s="1" t="str">
        <f t="shared" si="3"/>
        <v>INSERT INTO t_kod (ID,TIP_ID,SIRA,KOD,KISA_AD,DIGER_UYG_ENUM_AD,DIGER_UYG_ID)VALUES(2070002,207,2,'Çıkış','',null,null);</v>
      </c>
      <c r="J35" s="1" t="str">
        <f t="shared" si="4"/>
        <v/>
      </c>
      <c r="K35" s="1" t="str">
        <f>myfn_bosluklariVeIsaretleridDuzenle(myfn_bosluklariVeIsaretleridDuzenle(IF(B35&lt;&gt;0,CONCATENATE(E35,"=",A35,","),"")))</f>
        <v>CIKIS=2070002,</v>
      </c>
      <c r="L35" s="1"/>
    </row>
    <row r="36" spans="1:12" x14ac:dyDescent="0.25">
      <c r="B36" s="1"/>
      <c r="E36" s="2" t="str">
        <f>myfn_buyuk_harfe_cevir(myfn_turkceToIngilizce(myfn_bosluklariVeIsaretleridDuzenle(D36)))</f>
        <v/>
      </c>
      <c r="F36" s="1"/>
      <c r="G36" s="1"/>
      <c r="H36" s="1"/>
      <c r="I36" s="1" t="str">
        <f t="shared" si="3"/>
        <v/>
      </c>
      <c r="J36" s="1" t="str">
        <f t="shared" si="4"/>
        <v/>
      </c>
      <c r="K36" s="1" t="str">
        <f>myfn_bosluklariVeIsaretleridDuzenle(myfn_bosluklariVeIsaretleridDuzenle(IF(B36&lt;&gt;0,CONCATENATE(E36,"=",A36,","),"")))</f>
        <v/>
      </c>
      <c r="L36" s="1"/>
    </row>
    <row r="37" spans="1:12" x14ac:dyDescent="0.25">
      <c r="A37">
        <v>208</v>
      </c>
      <c r="B37" s="1">
        <v>0</v>
      </c>
      <c r="C37">
        <v>0</v>
      </c>
      <c r="D37" t="s">
        <v>27</v>
      </c>
      <c r="E37" s="2" t="str">
        <f>myfn_buyuk_harfe_cevir(myfn_turkceToIngilizce(myfn_bosluklariVeIsaretleridDuzenle(D37)))</f>
        <v>ALARM_TIPI</v>
      </c>
      <c r="F37" s="1"/>
      <c r="G37" s="1"/>
      <c r="H37" s="1"/>
      <c r="I37" s="1" t="str">
        <f t="shared" si="3"/>
        <v>INSERT INTO t_kod (ID,TIP_ID,SIRA,KOD,KISA_AD,DIGER_UYG_ENUM_AD,DIGER_UYG_ID)VALUES(208,0,0,'Alarm Tipi','',null,null);</v>
      </c>
      <c r="J37" s="1" t="str">
        <f t="shared" si="4"/>
        <v xml:space="preserve"> public enum ALARM_TIPI{
        }</v>
      </c>
      <c r="K37" s="1" t="str">
        <f>myfn_bosluklariVeIsaretleridDuzenle(myfn_bosluklariVeIsaretleridDuzenle(IF(B37&lt;&gt;0,CONCATENATE(E37,"=",A37,","),"")))</f>
        <v/>
      </c>
      <c r="L37" s="1"/>
    </row>
    <row r="38" spans="1:12" x14ac:dyDescent="0.25">
      <c r="A38">
        <v>2080001</v>
      </c>
      <c r="B38">
        <v>208</v>
      </c>
      <c r="C38">
        <v>1</v>
      </c>
      <c r="D38" t="s">
        <v>28</v>
      </c>
      <c r="E38" s="2" t="str">
        <f>myfn_buyuk_harfe_cevir(myfn_turkceToIngilizce(myfn_bosluklariVeIsaretleridDuzenle(D38)))</f>
        <v>HAREKET_ALGILAMA</v>
      </c>
      <c r="F38" s="1"/>
      <c r="G38" s="1"/>
      <c r="H38" s="1"/>
      <c r="I38" s="1" t="str">
        <f t="shared" si="3"/>
        <v>INSERT INTO t_kod (ID,TIP_ID,SIRA,KOD,KISA_AD,DIGER_UYG_ENUM_AD,DIGER_UYG_ID)VALUES(2080001,208,1,'Hareket Algılama','',null,null);</v>
      </c>
      <c r="J38" s="1" t="str">
        <f t="shared" si="4"/>
        <v/>
      </c>
      <c r="K38" s="1" t="str">
        <f>myfn_bosluklariVeIsaretleridDuzenle(myfn_bosluklariVeIsaretleridDuzenle(IF(B38&lt;&gt;0,CONCATENATE(E38,"=",A38,","),"")))</f>
        <v>HAREKET_ALGILAMA=2080001,</v>
      </c>
      <c r="L38" s="1"/>
    </row>
    <row r="39" spans="1:12" s="1" customFormat="1" x14ac:dyDescent="0.25">
      <c r="A39" s="1">
        <v>2080002</v>
      </c>
      <c r="B39" s="1">
        <v>208</v>
      </c>
      <c r="C39" s="1">
        <v>2</v>
      </c>
      <c r="D39" s="1" t="s">
        <v>29</v>
      </c>
      <c r="E39" s="2" t="str">
        <f>myfn_buyuk_harfe_cevir(myfn_turkceToIngilizce(myfn_bosluklariVeIsaretleridDuzenle(D39)))</f>
        <v>KAPI_ACIK</v>
      </c>
      <c r="I39" s="1" t="str">
        <f t="shared" si="3"/>
        <v>INSERT INTO t_kod (ID,TIP_ID,SIRA,KOD,KISA_AD,DIGER_UYG_ENUM_AD,DIGER_UYG_ID)VALUES(2080002,208,2,'Kapı Açık','',null,null);</v>
      </c>
      <c r="J39" s="1" t="str">
        <f t="shared" si="4"/>
        <v/>
      </c>
      <c r="K39" s="1" t="str">
        <f>myfn_bosluklariVeIsaretleridDuzenle(myfn_bosluklariVeIsaretleridDuzenle(IF(B39&lt;&gt;0,CONCATENATE(E39,"=",A39,","),"")))</f>
        <v>KAPI_ACIK=2080002,</v>
      </c>
    </row>
    <row r="40" spans="1:12" x14ac:dyDescent="0.25">
      <c r="A40">
        <v>2080003</v>
      </c>
      <c r="B40" s="1">
        <v>208</v>
      </c>
      <c r="C40">
        <v>3</v>
      </c>
      <c r="D40" t="s">
        <v>30</v>
      </c>
      <c r="E40" s="2" t="str">
        <f>myfn_buyuk_harfe_cevir(myfn_turkceToIngilizce(myfn_bosluklariVeIsaretleridDuzenle(D40)))</f>
        <v>GUVENLIK_IHLALI</v>
      </c>
      <c r="F40" s="1"/>
      <c r="G40" s="1"/>
      <c r="H40" s="1"/>
      <c r="I40" s="1" t="str">
        <f t="shared" si="3"/>
        <v>INSERT INTO t_kod (ID,TIP_ID,SIRA,KOD,KISA_AD,DIGER_UYG_ENUM_AD,DIGER_UYG_ID)VALUES(2080003,208,3,'Güvenlik İhlali','',null,null);</v>
      </c>
      <c r="J40" s="1" t="str">
        <f t="shared" si="4"/>
        <v/>
      </c>
      <c r="K40" s="1" t="str">
        <f>myfn_bosluklariVeIsaretleridDuzenle(myfn_bosluklariVeIsaretleridDuzenle(IF(B40&lt;&gt;0,CONCATENATE(E40,"=",A40,","),"")))</f>
        <v>GUVENLIK_IHLALI=2080003,</v>
      </c>
      <c r="L40" s="1"/>
    </row>
    <row r="41" spans="1:12" x14ac:dyDescent="0.25">
      <c r="A41">
        <v>2080004</v>
      </c>
      <c r="B41" s="1">
        <v>208</v>
      </c>
      <c r="C41">
        <v>4</v>
      </c>
      <c r="D41" t="s">
        <v>31</v>
      </c>
      <c r="E41" s="2" t="str">
        <f>myfn_buyuk_harfe_cevir(myfn_turkceToIngilizce(myfn_bosluklariVeIsaretleridDuzenle(D41)))</f>
        <v>SISTEM_HATASI</v>
      </c>
      <c r="F41" s="1"/>
      <c r="G41" s="1"/>
      <c r="H41" s="1"/>
      <c r="I41" s="1" t="str">
        <f t="shared" si="3"/>
        <v>INSERT INTO t_kod (ID,TIP_ID,SIRA,KOD,KISA_AD,DIGER_UYG_ENUM_AD,DIGER_UYG_ID)VALUES(2080004,208,4,'Sistem Hatası','',null,null);</v>
      </c>
      <c r="J41" s="1" t="str">
        <f t="shared" si="4"/>
        <v/>
      </c>
      <c r="K41" s="1" t="str">
        <f>myfn_bosluklariVeIsaretleridDuzenle(myfn_bosluklariVeIsaretleridDuzenle(IF(B41&lt;&gt;0,CONCATENATE(E41,"=",A41,","),"")))</f>
        <v>SISTEM_HATASI=2080004,</v>
      </c>
      <c r="L41" s="1"/>
    </row>
    <row r="42" spans="1:12" x14ac:dyDescent="0.25">
      <c r="A42">
        <v>2080005</v>
      </c>
      <c r="B42">
        <v>208</v>
      </c>
      <c r="C42">
        <v>5</v>
      </c>
      <c r="D42" t="s">
        <v>32</v>
      </c>
      <c r="E42" s="2" t="str">
        <f>myfn_buyuk_harfe_cevir(myfn_turkceToIngilizce(myfn_bosluklariVeIsaretleridDuzenle(D42)))</f>
        <v>ALARM_KAPATILDI</v>
      </c>
      <c r="F42" s="1"/>
      <c r="G42" s="1"/>
      <c r="H42" s="1"/>
      <c r="I42" s="1" t="str">
        <f t="shared" si="3"/>
        <v>INSERT INTO t_kod (ID,TIP_ID,SIRA,KOD,KISA_AD,DIGER_UYG_ENUM_AD,DIGER_UYG_ID)VALUES(2080005,208,5,'Alarm Kapatıldı','',null,null);</v>
      </c>
      <c r="J42" s="1" t="str">
        <f t="shared" si="4"/>
        <v/>
      </c>
      <c r="K42" s="1" t="str">
        <f>myfn_bosluklariVeIsaretleridDuzenle(myfn_bosluklariVeIsaretleridDuzenle(IF(B42&lt;&gt;0,CONCATENATE(E42,"=",A42,","),"")))</f>
        <v>ALARM_KAPATILDI=2080005,</v>
      </c>
      <c r="L42" s="1"/>
    </row>
    <row r="43" spans="1:12" s="1" customFormat="1" x14ac:dyDescent="0.25">
      <c r="E43" s="2" t="str">
        <f>myfn_buyuk_harfe_cevir(myfn_turkceToIngilizce(myfn_bosluklariVeIsaretleridDuzenle(D43)))</f>
        <v/>
      </c>
      <c r="I43" s="1" t="str">
        <f t="shared" si="3"/>
        <v/>
      </c>
      <c r="J43" s="1" t="str">
        <f t="shared" si="4"/>
        <v/>
      </c>
      <c r="K43" s="1" t="str">
        <f>myfn_bosluklariVeIsaretleridDuzenle(myfn_bosluklariVeIsaretleridDuzenle(IF(B43&lt;&gt;0,CONCATENATE(E43,"=",A43,","),"")))</f>
        <v/>
      </c>
    </row>
    <row r="44" spans="1:12" x14ac:dyDescent="0.25">
      <c r="A44">
        <v>209</v>
      </c>
      <c r="B44" s="1">
        <v>0</v>
      </c>
      <c r="C44">
        <v>0</v>
      </c>
      <c r="D44" t="s">
        <v>33</v>
      </c>
      <c r="E44" s="2" t="str">
        <f>myfn_buyuk_harfe_cevir(myfn_turkceToIngilizce(myfn_bosluklariVeIsaretleridDuzenle(D44)))</f>
        <v>ALARM_SEVIYESI</v>
      </c>
      <c r="F44" s="1"/>
      <c r="G44" s="1"/>
      <c r="H44" s="1"/>
      <c r="I44" s="1" t="str">
        <f t="shared" si="3"/>
        <v>INSERT INTO t_kod (ID,TIP_ID,SIRA,KOD,KISA_AD,DIGER_UYG_ENUM_AD,DIGER_UYG_ID)VALUES(209,0,0,'Alarm Seviyesi','',null,null);</v>
      </c>
      <c r="J44" s="1" t="str">
        <f t="shared" si="4"/>
        <v xml:space="preserve"> public enum ALARM_SEVIYESI{
        }</v>
      </c>
      <c r="K44" s="1" t="str">
        <f>myfn_bosluklariVeIsaretleridDuzenle(myfn_bosluklariVeIsaretleridDuzenle(IF(B44&lt;&gt;0,CONCATENATE(E44,"=",A44,","),"")))</f>
        <v/>
      </c>
      <c r="L44" s="1"/>
    </row>
    <row r="45" spans="1:12" x14ac:dyDescent="0.25">
      <c r="A45">
        <v>2090001</v>
      </c>
      <c r="B45" s="1">
        <v>209</v>
      </c>
      <c r="C45">
        <v>1</v>
      </c>
      <c r="D45" t="s">
        <v>34</v>
      </c>
      <c r="E45" s="2" t="str">
        <f>myfn_buyuk_harfe_cevir(myfn_turkceToIngilizce(myfn_bosluklariVeIsaretleridDuzenle(D45)))</f>
        <v>DUSUK</v>
      </c>
      <c r="F45" s="1"/>
      <c r="G45" s="1"/>
      <c r="H45" s="1"/>
      <c r="I45" s="1" t="str">
        <f t="shared" si="3"/>
        <v>INSERT INTO t_kod (ID,TIP_ID,SIRA,KOD,KISA_AD,DIGER_UYG_ENUM_AD,DIGER_UYG_ID)VALUES(2090001,209,1,'Düşük','',null,null);</v>
      </c>
      <c r="J45" s="1" t="str">
        <f t="shared" si="4"/>
        <v/>
      </c>
      <c r="K45" s="1" t="str">
        <f>myfn_bosluklariVeIsaretleridDuzenle(myfn_bosluklariVeIsaretleridDuzenle(IF(B45&lt;&gt;0,CONCATENATE(E45,"=",A45,","),"")))</f>
        <v>DUSUK=2090001,</v>
      </c>
      <c r="L45" s="1"/>
    </row>
    <row r="46" spans="1:12" x14ac:dyDescent="0.25">
      <c r="A46">
        <v>2090002</v>
      </c>
      <c r="B46" s="1">
        <v>209</v>
      </c>
      <c r="C46">
        <v>2</v>
      </c>
      <c r="D46" t="s">
        <v>35</v>
      </c>
      <c r="E46" s="2" t="str">
        <f>myfn_buyuk_harfe_cevir(myfn_turkceToIngilizce(myfn_bosluklariVeIsaretleridDuzenle(D46)))</f>
        <v>ORTA</v>
      </c>
      <c r="F46" s="1"/>
      <c r="G46" s="1"/>
      <c r="H46" s="1"/>
      <c r="I46" s="1" t="str">
        <f t="shared" si="3"/>
        <v>INSERT INTO t_kod (ID,TIP_ID,SIRA,KOD,KISA_AD,DIGER_UYG_ENUM_AD,DIGER_UYG_ID)VALUES(2090002,209,2,'Orta','',null,null);</v>
      </c>
      <c r="J46" s="1" t="str">
        <f t="shared" si="4"/>
        <v/>
      </c>
      <c r="K46" s="1" t="str">
        <f>myfn_bosluklariVeIsaretleridDuzenle(myfn_bosluklariVeIsaretleridDuzenle(IF(B46&lt;&gt;0,CONCATENATE(E46,"=",A46,","),"")))</f>
        <v>ORTA=2090002,</v>
      </c>
      <c r="L46" s="1"/>
    </row>
    <row r="47" spans="1:12" x14ac:dyDescent="0.25">
      <c r="A47">
        <v>2090003</v>
      </c>
      <c r="B47" s="1">
        <v>209</v>
      </c>
      <c r="C47">
        <v>3</v>
      </c>
      <c r="D47" t="s">
        <v>36</v>
      </c>
      <c r="E47" s="2" t="str">
        <f>myfn_buyuk_harfe_cevir(myfn_turkceToIngilizce(myfn_bosluklariVeIsaretleridDuzenle(D47)))</f>
        <v>YUKSEK</v>
      </c>
      <c r="F47" s="1"/>
      <c r="G47" s="1"/>
      <c r="H47" s="1"/>
      <c r="I47" s="1" t="str">
        <f t="shared" si="3"/>
        <v>INSERT INTO t_kod (ID,TIP_ID,SIRA,KOD,KISA_AD,DIGER_UYG_ENUM_AD,DIGER_UYG_ID)VALUES(2090003,209,3,'Yüksek','',null,null);</v>
      </c>
      <c r="J47" s="1" t="str">
        <f t="shared" si="4"/>
        <v/>
      </c>
      <c r="K47" s="1" t="str">
        <f>myfn_bosluklariVeIsaretleridDuzenle(myfn_bosluklariVeIsaretleridDuzenle(IF(B47&lt;&gt;0,CONCATENATE(E47,"=",A47,","),"")))</f>
        <v>YUKSEK=2090003,</v>
      </c>
      <c r="L47" s="1"/>
    </row>
    <row r="48" spans="1:12" x14ac:dyDescent="0.25">
      <c r="A48">
        <v>2090004</v>
      </c>
      <c r="B48" s="1">
        <v>209</v>
      </c>
      <c r="C48">
        <v>4</v>
      </c>
      <c r="D48" t="s">
        <v>37</v>
      </c>
      <c r="E48" s="2" t="str">
        <f>myfn_buyuk_harfe_cevir(myfn_turkceToIngilizce(myfn_bosluklariVeIsaretleridDuzenle(D48)))</f>
        <v>KRITIK</v>
      </c>
      <c r="F48" s="1"/>
      <c r="G48" s="1"/>
      <c r="H48" s="1"/>
      <c r="I48" s="1" t="str">
        <f t="shared" si="3"/>
        <v>INSERT INTO t_kod (ID,TIP_ID,SIRA,KOD,KISA_AD,DIGER_UYG_ENUM_AD,DIGER_UYG_ID)VALUES(2090004,209,4,'Kritik','',null,null);</v>
      </c>
      <c r="J48" s="1" t="str">
        <f t="shared" si="4"/>
        <v/>
      </c>
      <c r="K48" s="1" t="str">
        <f>myfn_bosluklariVeIsaretleridDuzenle(myfn_bosluklariVeIsaretleridDuzenle(IF(B48&lt;&gt;0,CONCATENATE(E48,"=",A48,","),"")))</f>
        <v>KRITIK=2090004,</v>
      </c>
      <c r="L48" s="1"/>
    </row>
    <row r="49" spans="1:12" x14ac:dyDescent="0.25">
      <c r="B49" s="1"/>
      <c r="E49" s="2" t="str">
        <f>myfn_buyuk_harfe_cevir(myfn_turkceToIngilizce(myfn_bosluklariVeIsaretleridDuzenle(D49)))</f>
        <v/>
      </c>
      <c r="F49" s="1"/>
      <c r="G49" s="1"/>
      <c r="H49" s="1"/>
      <c r="I49" s="1" t="str">
        <f t="shared" si="3"/>
        <v/>
      </c>
      <c r="J49" s="1" t="str">
        <f t="shared" si="4"/>
        <v/>
      </c>
      <c r="K49" s="1" t="str">
        <f>myfn_bosluklariVeIsaretleridDuzenle(myfn_bosluklariVeIsaretleridDuzenle(IF(B49&lt;&gt;0,CONCATENATE(E49,"=",A49,","),"")))</f>
        <v/>
      </c>
      <c r="L49" s="1"/>
    </row>
    <row r="50" spans="1:12" x14ac:dyDescent="0.25">
      <c r="A50">
        <v>210</v>
      </c>
      <c r="B50">
        <v>0</v>
      </c>
      <c r="C50">
        <v>0</v>
      </c>
      <c r="D50" t="s">
        <v>38</v>
      </c>
      <c r="E50" s="2" t="s">
        <v>52</v>
      </c>
      <c r="F50" s="1"/>
      <c r="G50" s="1"/>
      <c r="H50" s="1"/>
      <c r="I50" s="1" t="str">
        <f t="shared" si="3"/>
        <v>INSERT INTO t_kod (ID,TIP_ID,SIRA,KOD,KISA_AD,DIGER_UYG_ENUM_AD,DIGER_UYG_ID)VALUES(210,0,0,'Kamera Olay Tipi','',null,null);</v>
      </c>
      <c r="J50" s="1" t="str">
        <f t="shared" si="4"/>
        <v xml:space="preserve"> public enum Kam Oly{
        }</v>
      </c>
      <c r="K50" s="1" t="str">
        <f>myfn_bosluklariVeIsaretleridDuzenle(myfn_bosluklariVeIsaretleridDuzenle(IF(B50&lt;&gt;0,CONCATENATE(E50,"=",A50,","),"")))</f>
        <v/>
      </c>
      <c r="L50" s="1"/>
    </row>
    <row r="51" spans="1:12" s="1" customFormat="1" x14ac:dyDescent="0.25">
      <c r="A51" s="1">
        <v>2100001</v>
      </c>
      <c r="B51" s="1">
        <v>210</v>
      </c>
      <c r="C51" s="1">
        <v>1</v>
      </c>
      <c r="D51" s="1" t="s">
        <v>39</v>
      </c>
      <c r="E51" s="2" t="s">
        <v>53</v>
      </c>
      <c r="I51" s="1" t="str">
        <f t="shared" si="3"/>
        <v>INSERT INTO t_kod (ID,TIP_ID,SIRA,KOD,KISA_AD,DIGER_UYG_ENUM_AD,DIGER_UYG_ID)VALUES(2100001,210,1,'Hareket','',null,null);</v>
      </c>
      <c r="J51" s="1" t="str">
        <f t="shared" si="4"/>
        <v/>
      </c>
      <c r="K51" s="1" t="str">
        <f>myfn_bosluklariVeIsaretleridDuzenle(myfn_bosluklariVeIsaretleridDuzenle(IF(B51&lt;&gt;0,CONCATENATE(E51,"=",A51,","),"")))</f>
        <v>hrk=2100001,</v>
      </c>
    </row>
    <row r="52" spans="1:12" x14ac:dyDescent="0.25">
      <c r="A52">
        <v>2100002</v>
      </c>
      <c r="B52" s="1">
        <v>210</v>
      </c>
      <c r="C52">
        <v>2</v>
      </c>
      <c r="D52" t="s">
        <v>40</v>
      </c>
      <c r="E52" s="2" t="s">
        <v>54</v>
      </c>
      <c r="F52" s="1"/>
      <c r="G52" s="1"/>
      <c r="H52" s="1"/>
      <c r="I52" s="1" t="str">
        <f t="shared" si="3"/>
        <v>INSERT INTO t_kod (ID,TIP_ID,SIRA,KOD,KISA_AD,DIGER_UYG_ENUM_AD,DIGER_UYG_ID)VALUES(2100002,210,2,'Kayıt Başlama','',null,null);</v>
      </c>
      <c r="J52" s="1" t="str">
        <f t="shared" si="4"/>
        <v/>
      </c>
      <c r="K52" s="1" t="str">
        <f>myfn_bosluklariVeIsaretleridDuzenle(myfn_bosluklariVeIsaretleridDuzenle(IF(B52&lt;&gt;0,CONCATENATE(E52,"=",A52,","),"")))</f>
        <v>kb=2100002,</v>
      </c>
      <c r="L52" s="1"/>
    </row>
    <row r="53" spans="1:12" x14ac:dyDescent="0.25">
      <c r="A53">
        <v>2100003</v>
      </c>
      <c r="B53" s="1">
        <v>210</v>
      </c>
      <c r="C53">
        <v>3</v>
      </c>
      <c r="D53" t="s">
        <v>41</v>
      </c>
      <c r="E53" s="2" t="s">
        <v>54</v>
      </c>
      <c r="F53" s="1"/>
      <c r="G53" s="1"/>
      <c r="H53" s="1"/>
      <c r="I53" s="1" t="str">
        <f t="shared" si="3"/>
        <v>INSERT INTO t_kod (ID,TIP_ID,SIRA,KOD,KISA_AD,DIGER_UYG_ENUM_AD,DIGER_UYG_ID)VALUES(2100003,210,3,'Kayıt Bitme','',null,null);</v>
      </c>
      <c r="J53" s="1" t="str">
        <f t="shared" si="4"/>
        <v/>
      </c>
      <c r="K53" s="1" t="str">
        <f>myfn_bosluklariVeIsaretleridDuzenle(myfn_bosluklariVeIsaretleridDuzenle(IF(B53&lt;&gt;0,CONCATENATE(E53,"=",A53,","),"")))</f>
        <v>kb=2100003,</v>
      </c>
      <c r="L53" s="1"/>
    </row>
    <row r="54" spans="1:12" x14ac:dyDescent="0.25">
      <c r="A54">
        <v>2100004</v>
      </c>
      <c r="B54" s="1">
        <v>210</v>
      </c>
      <c r="C54">
        <v>4</v>
      </c>
      <c r="D54" t="s">
        <v>42</v>
      </c>
      <c r="E54" s="2" t="s">
        <v>55</v>
      </c>
      <c r="F54" s="1"/>
      <c r="G54" s="1"/>
      <c r="H54" s="1"/>
      <c r="I54" s="1" t="str">
        <f t="shared" si="3"/>
        <v>INSERT INTO t_kod (ID,TIP_ID,SIRA,KOD,KISA_AD,DIGER_UYG_ENUM_AD,DIGER_UYG_ID)VALUES(2100004,210,4,'Bağlantı Kesilmesi','',null,null);</v>
      </c>
      <c r="J54" s="1" t="str">
        <f t="shared" si="4"/>
        <v/>
      </c>
      <c r="K54" s="1" t="str">
        <f>myfn_bosluklariVeIsaretleridDuzenle(myfn_bosluklariVeIsaretleridDuzenle(IF(B54&lt;&gt;0,CONCATENATE(E54,"=",A54,","),"")))</f>
        <v>bk=2100004,</v>
      </c>
      <c r="L54" s="1"/>
    </row>
    <row r="55" spans="1:12" x14ac:dyDescent="0.25">
      <c r="B55" s="1"/>
      <c r="E55" s="2" t="str">
        <f>myfn_buyuk_harfe_cevir(myfn_turkceToIngilizce(myfn_bosluklariVeIsaretleridDuzenle(D55)))</f>
        <v/>
      </c>
      <c r="F55" s="1"/>
      <c r="G55" s="1"/>
      <c r="H55" s="1"/>
      <c r="I55" s="1" t="str">
        <f t="shared" si="3"/>
        <v/>
      </c>
      <c r="J55" s="1" t="str">
        <f t="shared" si="4"/>
        <v/>
      </c>
      <c r="K55" s="1" t="str">
        <f>myfn_bosluklariVeIsaretleridDuzenle(myfn_bosluklariVeIsaretleridDuzenle(IF(B55&lt;&gt;0,CONCATENATE(E55,"=",A55,","),"")))</f>
        <v/>
      </c>
      <c r="L55" s="1"/>
    </row>
    <row r="56" spans="1:12" x14ac:dyDescent="0.25">
      <c r="A56">
        <v>215</v>
      </c>
      <c r="B56">
        <v>0</v>
      </c>
      <c r="C56">
        <v>0</v>
      </c>
      <c r="D56" s="6" t="s">
        <v>127</v>
      </c>
      <c r="E56" s="2" t="str">
        <f>myfn_buyuk_harfe_cevir(myfn_turkceToIngilizce(myfn_bosluklariVeIsaretleridDuzenle(D56)))</f>
        <v>LOG_AYIRICI</v>
      </c>
      <c r="F56" t="s">
        <v>56</v>
      </c>
      <c r="G56" s="1"/>
      <c r="H56" s="1"/>
      <c r="I56" s="1" t="str">
        <f t="shared" si="3"/>
        <v>INSERT INTO t_kod (ID,TIP_ID,SIRA,KOD,KISA_AD,DIGER_UYG_ENUM_AD,DIGER_UYG_ID)VALUES(215,0,0,'Log Ayırıcı','Ayırıcı',null,null);</v>
      </c>
      <c r="J56" s="1" t="str">
        <f t="shared" ref="J56" si="5">IF(AND(B56&lt;&gt;"",B56=0),CONCATENATE(" public enum ",E56,"{","
        }"),"")</f>
        <v xml:space="preserve"> public enum LOG_AYIRICI{
        }</v>
      </c>
      <c r="K56" s="1" t="str">
        <f>myfn_bosluklariVeIsaretleridDuzenle(myfn_bosluklariVeIsaretleridDuzenle(IF(B56&lt;&gt;0,CONCATENATE(E56,"=",A56,","),"")))</f>
        <v/>
      </c>
      <c r="L56" s="1"/>
    </row>
    <row r="57" spans="1:12" x14ac:dyDescent="0.25">
      <c r="A57">
        <v>2150001</v>
      </c>
      <c r="B57">
        <v>215</v>
      </c>
      <c r="C57">
        <v>1</v>
      </c>
      <c r="D57" t="s">
        <v>128</v>
      </c>
      <c r="E57" s="2" t="str">
        <f>myfn_buyuk_harfe_cevir(myfn_turkceToIngilizce(myfn_bosluklariVeIsaretleridDuzenle(D57)))</f>
        <v>VIRGUL</v>
      </c>
      <c r="F57" s="1" t="s">
        <v>59</v>
      </c>
      <c r="G57" s="1"/>
      <c r="H57" s="1"/>
      <c r="I57" s="1" t="str">
        <f t="shared" si="3"/>
        <v>INSERT INTO t_kod (ID,TIP_ID,SIRA,KOD,KISA_AD,DIGER_UYG_ENUM_AD,DIGER_UYG_ID)VALUES(2150001,215,1,'Virgül',',',null,null);</v>
      </c>
      <c r="J57" s="1" t="str">
        <f t="shared" si="4"/>
        <v/>
      </c>
      <c r="K57" s="1" t="str">
        <f>myfn_bosluklariVeIsaretleridDuzenle(myfn_bosluklariVeIsaretleridDuzenle(IF(B57&lt;&gt;0,CONCATENATE(E57,"=",A57,","),"")))</f>
        <v>VIRGUL=2150001,</v>
      </c>
      <c r="L57" s="1"/>
    </row>
    <row r="58" spans="1:12" x14ac:dyDescent="0.25">
      <c r="A58">
        <v>2150002</v>
      </c>
      <c r="B58">
        <v>215</v>
      </c>
      <c r="C58">
        <v>2</v>
      </c>
      <c r="D58" t="s">
        <v>57</v>
      </c>
      <c r="E58" s="2" t="str">
        <f>myfn_buyuk_harfe_cevir(myfn_turkceToIngilizce(myfn_bosluklariVeIsaretleridDuzenle(D58)))</f>
        <v>NOKTALI_VIRGUL</v>
      </c>
      <c r="F58" s="1" t="s">
        <v>60</v>
      </c>
      <c r="G58" s="1"/>
      <c r="H58" s="1"/>
      <c r="I58" s="1" t="str">
        <f t="shared" si="3"/>
        <v>INSERT INTO t_kod (ID,TIP_ID,SIRA,KOD,KISA_AD,DIGER_UYG_ENUM_AD,DIGER_UYG_ID)VALUES(2150002,215,2,'Noktalı Virgül',';',null,null);</v>
      </c>
      <c r="J58" s="1" t="str">
        <f t="shared" si="4"/>
        <v/>
      </c>
      <c r="K58" s="1" t="str">
        <f>myfn_bosluklariVeIsaretleridDuzenle(myfn_bosluklariVeIsaretleridDuzenle(IF(B58&lt;&gt;0,CONCATENATE(E58,"=",A58,","),"")))</f>
        <v>NOKTALI_VIRGUL=2150002,</v>
      </c>
      <c r="L58" s="1"/>
    </row>
    <row r="59" spans="1:12" x14ac:dyDescent="0.25">
      <c r="A59">
        <v>2150003</v>
      </c>
      <c r="B59">
        <v>215</v>
      </c>
      <c r="C59">
        <v>3</v>
      </c>
      <c r="D59" t="s">
        <v>129</v>
      </c>
      <c r="E59" s="2" t="str">
        <f>myfn_buyuk_harfe_cevir(myfn_turkceToIngilizce(myfn_bosluklariVeIsaretleridDuzenle(D59)))</f>
        <v>TAB</v>
      </c>
      <c r="F59" s="1" t="s">
        <v>61</v>
      </c>
      <c r="G59" s="1"/>
      <c r="H59" s="1"/>
      <c r="I59" s="1" t="str">
        <f t="shared" si="3"/>
        <v>INSERT INTO t_kod (ID,TIP_ID,SIRA,KOD,KISA_AD,DIGER_UYG_ENUM_AD,DIGER_UYG_ID)VALUES(2150003,215,3,'Tab','\t',null,null);</v>
      </c>
      <c r="J59" s="1" t="str">
        <f t="shared" si="4"/>
        <v/>
      </c>
      <c r="K59" s="1" t="str">
        <f>myfn_bosluklariVeIsaretleridDuzenle(myfn_bosluklariVeIsaretleridDuzenle(IF(B59&lt;&gt;0,CONCATENATE(E59,"=",A59,","),"")))</f>
        <v>TAB=2150003,</v>
      </c>
      <c r="L59" s="1"/>
    </row>
    <row r="60" spans="1:12" x14ac:dyDescent="0.25">
      <c r="A60">
        <v>2150004</v>
      </c>
      <c r="B60">
        <v>215</v>
      </c>
      <c r="C60">
        <v>4</v>
      </c>
      <c r="D60" t="s">
        <v>58</v>
      </c>
      <c r="E60" s="2" t="str">
        <f>myfn_buyuk_harfe_cevir(myfn_turkceToIngilizce(myfn_bosluklariVeIsaretleridDuzenle(D60)))</f>
        <v>BOSLUK</v>
      </c>
      <c r="F60" s="1"/>
      <c r="G60" s="1"/>
      <c r="H60" s="1"/>
      <c r="I60" s="1" t="str">
        <f t="shared" si="3"/>
        <v>INSERT INTO t_kod (ID,TIP_ID,SIRA,KOD,KISA_AD,DIGER_UYG_ENUM_AD,DIGER_UYG_ID)VALUES(2150004,215,4,'Boşluk','',null,null);</v>
      </c>
      <c r="J60" s="1" t="str">
        <f t="shared" si="4"/>
        <v/>
      </c>
      <c r="K60" s="1" t="str">
        <f>myfn_bosluklariVeIsaretleridDuzenle(myfn_bosluklariVeIsaretleridDuzenle(IF(B60&lt;&gt;0,CONCATENATE(E60,"=",A60,","),"")))</f>
        <v>BOSLUK=2150004,</v>
      </c>
      <c r="L60" s="1"/>
    </row>
    <row r="61" spans="1:12" x14ac:dyDescent="0.25">
      <c r="A61">
        <v>2150005</v>
      </c>
      <c r="B61">
        <v>215</v>
      </c>
      <c r="C61">
        <v>5</v>
      </c>
      <c r="D61" t="s">
        <v>130</v>
      </c>
      <c r="E61" s="2" t="str">
        <f>myfn_buyuk_harfe_cevir(myfn_turkceToIngilizce(myfn_bosluklariVeIsaretleridDuzenle(D61)))</f>
        <v>BORU</v>
      </c>
      <c r="F61" s="1" t="s">
        <v>62</v>
      </c>
      <c r="G61" s="1"/>
      <c r="H61" s="1"/>
      <c r="I61" s="1" t="str">
        <f t="shared" si="3"/>
        <v>INSERT INTO t_kod (ID,TIP_ID,SIRA,KOD,KISA_AD,DIGER_UYG_ENUM_AD,DIGER_UYG_ID)VALUES(2150005,215,5,'Boru','|',null,null);</v>
      </c>
      <c r="J61" s="1" t="str">
        <f t="shared" si="4"/>
        <v/>
      </c>
      <c r="K61" s="1" t="str">
        <f>myfn_bosluklariVeIsaretleridDuzenle(myfn_bosluklariVeIsaretleridDuzenle(IF(B61&lt;&gt;0,CONCATENATE(E61,"=",A61,","),"")))</f>
        <v>BORU=2150005,</v>
      </c>
      <c r="L61" s="1"/>
    </row>
    <row r="62" spans="1:12" x14ac:dyDescent="0.25">
      <c r="A62">
        <v>2150006</v>
      </c>
      <c r="B62">
        <v>215</v>
      </c>
      <c r="C62">
        <v>6</v>
      </c>
      <c r="D62" t="s">
        <v>131</v>
      </c>
      <c r="E62" s="2" t="str">
        <f>myfn_buyuk_harfe_cevir(myfn_turkceToIngilizce(myfn_bosluklariVeIsaretleridDuzenle(D62)))</f>
        <v>TIRE</v>
      </c>
      <c r="F62" s="1" t="s">
        <v>63</v>
      </c>
      <c r="G62" s="1"/>
      <c r="H62" s="1"/>
      <c r="I62" s="1" t="str">
        <f t="shared" si="3"/>
        <v>INSERT INTO t_kod (ID,TIP_ID,SIRA,KOD,KISA_AD,DIGER_UYG_ENUM_AD,DIGER_UYG_ID)VALUES(2150006,215,6,'Tire','-',null,null);</v>
      </c>
      <c r="J62" s="1" t="str">
        <f t="shared" si="4"/>
        <v/>
      </c>
      <c r="K62" s="1" t="str">
        <f>myfn_bosluklariVeIsaretleridDuzenle(myfn_bosluklariVeIsaretleridDuzenle(IF(B62&lt;&gt;0,CONCATENATE(E62,"=",A62,","),"")))</f>
        <v>TIRE=2150006,</v>
      </c>
      <c r="L62" s="1"/>
    </row>
    <row r="63" spans="1:12" x14ac:dyDescent="0.25">
      <c r="A63">
        <v>2150007</v>
      </c>
      <c r="B63">
        <v>215</v>
      </c>
      <c r="C63">
        <v>7</v>
      </c>
      <c r="D63" t="s">
        <v>132</v>
      </c>
      <c r="E63" s="2" t="str">
        <f>myfn_buyuk_harfe_cevir(myfn_turkceToIngilizce(myfn_bosluklariVeIsaretleridDuzenle(D63)))</f>
        <v>IKI_NOKTA</v>
      </c>
      <c r="F63" s="1" t="s">
        <v>64</v>
      </c>
      <c r="G63" s="1"/>
      <c r="H63" s="1"/>
      <c r="I63" s="1" t="str">
        <f t="shared" si="3"/>
        <v>INSERT INTO t_kod (ID,TIP_ID,SIRA,KOD,KISA_AD,DIGER_UYG_ENUM_AD,DIGER_UYG_ID)VALUES(2150007,215,7,'İki Nokta',':',null,null);</v>
      </c>
      <c r="J63" s="1" t="str">
        <f t="shared" si="4"/>
        <v/>
      </c>
      <c r="K63" s="1" t="str">
        <f>myfn_bosluklariVeIsaretleridDuzenle(myfn_bosluklariVeIsaretleridDuzenle(IF(B63&lt;&gt;0,CONCATENATE(E63,"=",A63,","),"")))</f>
        <v>IKI_NOKTA=2150007,</v>
      </c>
      <c r="L63" s="1"/>
    </row>
    <row r="64" spans="1:12" x14ac:dyDescent="0.25">
      <c r="E64" s="2" t="str">
        <f>myfn_buyuk_harfe_cevir(myfn_turkceToIngilizce(myfn_bosluklariVeIsaretleridDuzenle(D64)))</f>
        <v/>
      </c>
      <c r="F64" s="1"/>
      <c r="G64" s="1"/>
      <c r="H64" s="1"/>
      <c r="I64" s="1" t="str">
        <f t="shared" si="3"/>
        <v/>
      </c>
      <c r="J64" s="1" t="str">
        <f t="shared" si="4"/>
        <v/>
      </c>
      <c r="K64" s="1" t="str">
        <f>myfn_bosluklariVeIsaretleridDuzenle(myfn_bosluklariVeIsaretleridDuzenle(IF(B64&lt;&gt;0,CONCATENATE(E64,"=",A64,","),"")))</f>
        <v/>
      </c>
      <c r="L64" s="1"/>
    </row>
    <row r="65" spans="1:12" x14ac:dyDescent="0.25">
      <c r="A65">
        <v>216</v>
      </c>
      <c r="B65">
        <v>0</v>
      </c>
      <c r="C65">
        <v>0</v>
      </c>
      <c r="D65" t="s">
        <v>65</v>
      </c>
      <c r="E65" s="2" t="str">
        <f>myfn_buyuk_harfe_cevir(myfn_turkceToIngilizce(myfn_bosluklariVeIsaretleridDuzenle(D65)))</f>
        <v>LOG_TARIH_FORMATI</v>
      </c>
      <c r="F65" t="s">
        <v>133</v>
      </c>
      <c r="G65" s="1"/>
      <c r="H65" s="1"/>
      <c r="I65" s="1" t="str">
        <f t="shared" si="3"/>
        <v>INSERT INTO t_kod (ID,TIP_ID,SIRA,KOD,KISA_AD,DIGER_UYG_ENUM_AD,DIGER_UYG_ID)VALUES(216,0,0,'Log Tarih Formatı','TarihFormatı',null,null);</v>
      </c>
      <c r="J65" s="1" t="str">
        <f t="shared" si="4"/>
        <v xml:space="preserve"> public enum LOG_TARIH_FORMATI{
        }</v>
      </c>
      <c r="K65" s="1" t="str">
        <f>myfn_bosluklariVeIsaretleridDuzenle(myfn_bosluklariVeIsaretleridDuzenle(IF(B65&lt;&gt;0,CONCATENATE(E65,"=",A65,","),"")))</f>
        <v/>
      </c>
      <c r="L65" s="1"/>
    </row>
    <row r="66" spans="1:12" x14ac:dyDescent="0.25">
      <c r="A66">
        <v>2160001</v>
      </c>
      <c r="B66">
        <v>216</v>
      </c>
      <c r="C66">
        <v>1</v>
      </c>
      <c r="D66" t="s">
        <v>134</v>
      </c>
      <c r="E66" s="2" t="str">
        <f>myfn_buyuk_harfe_cevir(myfn_turkceToIngilizce(myfn_bosluklariVeIsaretleridDuzenle(D66)))</f>
        <v>YIL_AY_GUN_1</v>
      </c>
      <c r="F66" s="1" t="s">
        <v>66</v>
      </c>
      <c r="G66" s="1"/>
      <c r="H66" s="1"/>
      <c r="I66" s="1" t="str">
        <f t="shared" si="3"/>
        <v>INSERT INTO t_kod (ID,TIP_ID,SIRA,KOD,KISA_AD,DIGER_UYG_ENUM_AD,DIGER_UYG_ID)VALUES(2160001,216,1,'Yıl-Ay-Gün _1','yyyy-MM-dd',null,null);</v>
      </c>
      <c r="J66" s="1" t="str">
        <f t="shared" si="4"/>
        <v/>
      </c>
      <c r="K66" s="1" t="str">
        <f>myfn_bosluklariVeIsaretleridDuzenle(myfn_bosluklariVeIsaretleridDuzenle(IF(B66&lt;&gt;0,CONCATENATE(E66,"=",A66,","),"")))</f>
        <v>YIL_AY_GUN_1=2160001,</v>
      </c>
      <c r="L66" s="1"/>
    </row>
    <row r="67" spans="1:12" x14ac:dyDescent="0.25">
      <c r="A67">
        <v>2160002</v>
      </c>
      <c r="B67">
        <v>216</v>
      </c>
      <c r="C67">
        <v>2</v>
      </c>
      <c r="D67" t="s">
        <v>135</v>
      </c>
      <c r="E67" s="2" t="str">
        <f>myfn_buyuk_harfe_cevir(myfn_turkceToIngilizce(myfn_bosluklariVeIsaretleridDuzenle(D67)))</f>
        <v>GUN_AY_YIL_2</v>
      </c>
      <c r="F67" s="1" t="s">
        <v>67</v>
      </c>
      <c r="G67" s="1"/>
      <c r="H67" s="1"/>
      <c r="I67" s="1" t="str">
        <f t="shared" si="3"/>
        <v>INSERT INTO t_kod (ID,TIP_ID,SIRA,KOD,KISA_AD,DIGER_UYG_ENUM_AD,DIGER_UYG_ID)VALUES(2160002,216,2,'Gün/Ay/Yıl _2','dd/MM/yyyy',null,null);</v>
      </c>
      <c r="J67" s="1" t="str">
        <f t="shared" si="4"/>
        <v/>
      </c>
      <c r="K67" s="1" t="str">
        <f>myfn_bosluklariVeIsaretleridDuzenle(myfn_bosluklariVeIsaretleridDuzenle(IF(B67&lt;&gt;0,CONCATENATE(E67,"=",A67,","),"")))</f>
        <v>GUN_AY_YIL_2=2160002,</v>
      </c>
      <c r="L67" s="1"/>
    </row>
    <row r="68" spans="1:12" x14ac:dyDescent="0.25">
      <c r="A68">
        <v>2160003</v>
      </c>
      <c r="B68">
        <v>216</v>
      </c>
      <c r="C68">
        <v>3</v>
      </c>
      <c r="D68" t="s">
        <v>136</v>
      </c>
      <c r="E68" s="2" t="str">
        <f>myfn_buyuk_harfe_cevir(myfn_turkceToIngilizce(myfn_bosluklariVeIsaretleridDuzenle(D68)))</f>
        <v>AY_GUN_YIL_3</v>
      </c>
      <c r="F68" s="1" t="s">
        <v>68</v>
      </c>
      <c r="G68" s="1"/>
      <c r="H68" s="1"/>
      <c r="I68" s="1" t="str">
        <f t="shared" si="3"/>
        <v>INSERT INTO t_kod (ID,TIP_ID,SIRA,KOD,KISA_AD,DIGER_UYG_ENUM_AD,DIGER_UYG_ID)VALUES(2160003,216,3,'Ay/Gün/Yıl _3','MM/dd/yyyy',null,null);</v>
      </c>
      <c r="J68" s="1" t="str">
        <f t="shared" si="4"/>
        <v/>
      </c>
      <c r="K68" s="1" t="str">
        <f>myfn_bosluklariVeIsaretleridDuzenle(myfn_bosluklariVeIsaretleridDuzenle(IF(B68&lt;&gt;0,CONCATENATE(E68,"=",A68,","),"")))</f>
        <v>AY_GUN_YIL_3=2160003,</v>
      </c>
      <c r="L68" s="1"/>
    </row>
    <row r="69" spans="1:12" x14ac:dyDescent="0.25">
      <c r="A69">
        <v>2160004</v>
      </c>
      <c r="B69">
        <v>216</v>
      </c>
      <c r="C69">
        <v>4</v>
      </c>
      <c r="D69" t="s">
        <v>137</v>
      </c>
      <c r="E69" s="2" t="str">
        <f>myfn_buyuk_harfe_cevir(myfn_turkceToIngilizce(myfn_bosluklariVeIsaretleridDuzenle(D69)))</f>
        <v>GUN_AY_YIL_4</v>
      </c>
      <c r="F69" s="1" t="s">
        <v>69</v>
      </c>
      <c r="G69" s="1"/>
      <c r="H69" s="1"/>
      <c r="I69" s="1" t="str">
        <f t="shared" si="3"/>
        <v>INSERT INTO t_kod (ID,TIP_ID,SIRA,KOD,KISA_AD,DIGER_UYG_ENUM_AD,DIGER_UYG_ID)VALUES(2160004,216,4,'Gün.Ay.Yıl _4','dd.MM.yyyy',null,null);</v>
      </c>
      <c r="J69" s="1" t="str">
        <f t="shared" si="4"/>
        <v/>
      </c>
      <c r="K69" s="1" t="str">
        <f>myfn_bosluklariVeIsaretleridDuzenle(myfn_bosluklariVeIsaretleridDuzenle(IF(B69&lt;&gt;0,CONCATENATE(E69,"=",A69,","),"")))</f>
        <v>GUN_AY_YIL_4=2160004,</v>
      </c>
      <c r="L69" s="1"/>
    </row>
    <row r="70" spans="1:12" x14ac:dyDescent="0.25">
      <c r="A70">
        <v>2160005</v>
      </c>
      <c r="B70">
        <v>216</v>
      </c>
      <c r="C70">
        <v>5</v>
      </c>
      <c r="D70" t="s">
        <v>138</v>
      </c>
      <c r="E70" s="2" t="str">
        <f>myfn_buyuk_harfe_cevir(myfn_turkceToIngilizce(myfn_bosluklariVeIsaretleridDuzenle(D70)))</f>
        <v>AY_GUN_YIL_5</v>
      </c>
      <c r="F70" s="1" t="s">
        <v>70</v>
      </c>
      <c r="G70" s="1"/>
      <c r="H70" s="1"/>
      <c r="I70" s="1" t="str">
        <f t="shared" si="3"/>
        <v>INSERT INTO t_kod (ID,TIP_ID,SIRA,KOD,KISA_AD,DIGER_UYG_ENUM_AD,DIGER_UYG_ID)VALUES(2160005,216,5,'Ay.Gün.Yıl _5','MM.dd.yyyy',null,null);</v>
      </c>
      <c r="J70" s="1" t="str">
        <f t="shared" si="4"/>
        <v/>
      </c>
      <c r="K70" s="1" t="str">
        <f>myfn_bosluklariVeIsaretleridDuzenle(myfn_bosluklariVeIsaretleridDuzenle(IF(B70&lt;&gt;0,CONCATENATE(E70,"=",A70,","),"")))</f>
        <v>AY_GUN_YIL_5=2160005,</v>
      </c>
      <c r="L70" s="1"/>
    </row>
    <row r="71" spans="1:12" x14ac:dyDescent="0.25">
      <c r="A71">
        <v>2160006</v>
      </c>
      <c r="B71">
        <v>216</v>
      </c>
      <c r="C71">
        <v>6</v>
      </c>
      <c r="D71" t="s">
        <v>139</v>
      </c>
      <c r="E71" s="2" t="str">
        <f>myfn_buyuk_harfe_cevir(myfn_turkceToIngilizce(myfn_bosluklariVeIsaretleridDuzenle(D71)))</f>
        <v>YIL_AY_GUN_6</v>
      </c>
      <c r="F71" s="1" t="s">
        <v>71</v>
      </c>
      <c r="G71" s="1"/>
      <c r="H71" s="1"/>
      <c r="I71" s="1" t="str">
        <f t="shared" si="3"/>
        <v>INSERT INTO t_kod (ID,TIP_ID,SIRA,KOD,KISA_AD,DIGER_UYG_ENUM_AD,DIGER_UYG_ID)VALUES(2160006,216,6,'Yıl/Ay/Gün _6','yyyy/MM/dd',null,null);</v>
      </c>
      <c r="J71" s="1" t="str">
        <f t="shared" ref="J71:J134" si="6">IF(AND(B71&lt;&gt;"",B71=0),CONCATENATE(" public enum ",E71,"{","
        }"),"")</f>
        <v/>
      </c>
      <c r="K71" s="1" t="str">
        <f>myfn_bosluklariVeIsaretleridDuzenle(myfn_bosluklariVeIsaretleridDuzenle(IF(B71&lt;&gt;0,CONCATENATE(E71,"=",A71,","),"")))</f>
        <v>YIL_AY_GUN_6=2160006,</v>
      </c>
      <c r="L71" s="1"/>
    </row>
    <row r="72" spans="1:12" x14ac:dyDescent="0.25">
      <c r="A72">
        <v>2160007</v>
      </c>
      <c r="B72">
        <v>216</v>
      </c>
      <c r="C72">
        <v>7</v>
      </c>
      <c r="D72" t="s">
        <v>140</v>
      </c>
      <c r="E72" s="2" t="str">
        <f>myfn_buyuk_harfe_cevir(myfn_turkceToIngilizce(myfn_bosluklariVeIsaretleridDuzenle(D72)))</f>
        <v>GUN_AY_YIL_7</v>
      </c>
      <c r="F72" s="1" t="s">
        <v>72</v>
      </c>
      <c r="G72" s="1"/>
      <c r="H72" s="1"/>
      <c r="I72" s="1" t="str">
        <f t="shared" si="3"/>
        <v>INSERT INTO t_kod (ID,TIP_ID,SIRA,KOD,KISA_AD,DIGER_UYG_ENUM_AD,DIGER_UYG_ID)VALUES(2160007,216,7,'Gün-Ay-Yıl _7','dd-MM-yyyy',null,null);</v>
      </c>
      <c r="J72" s="1" t="str">
        <f t="shared" si="6"/>
        <v/>
      </c>
      <c r="K72" s="1" t="str">
        <f>myfn_bosluklariVeIsaretleridDuzenle(myfn_bosluklariVeIsaretleridDuzenle(IF(B72&lt;&gt;0,CONCATENATE(E72,"=",A72,","),"")))</f>
        <v>GUN_AY_YIL_7=2160007,</v>
      </c>
      <c r="L72" s="1"/>
    </row>
    <row r="73" spans="1:12" x14ac:dyDescent="0.25">
      <c r="A73">
        <v>2160008</v>
      </c>
      <c r="B73">
        <v>216</v>
      </c>
      <c r="C73">
        <v>8</v>
      </c>
      <c r="D73" t="s">
        <v>141</v>
      </c>
      <c r="E73" s="2" t="str">
        <f>myfn_buyuk_harfe_cevir(myfn_turkceToIngilizce(myfn_bosluklariVeIsaretleridDuzenle(D73)))</f>
        <v>AY_GUN_YIL_8</v>
      </c>
      <c r="F73" s="1" t="s">
        <v>73</v>
      </c>
      <c r="G73" s="1"/>
      <c r="H73" s="1"/>
      <c r="I73" s="1" t="str">
        <f t="shared" si="3"/>
        <v>INSERT INTO t_kod (ID,TIP_ID,SIRA,KOD,KISA_AD,DIGER_UYG_ENUM_AD,DIGER_UYG_ID)VALUES(2160008,216,8,'Ay-Gün-Yıl _8','MM-dd-yyyy',null,null);</v>
      </c>
      <c r="J73" s="1" t="str">
        <f t="shared" si="6"/>
        <v/>
      </c>
      <c r="K73" s="1" t="str">
        <f>myfn_bosluklariVeIsaretleridDuzenle(myfn_bosluklariVeIsaretleridDuzenle(IF(B73&lt;&gt;0,CONCATENATE(E73,"=",A73,","),"")))</f>
        <v>AY_GUN_YIL_8=2160008,</v>
      </c>
      <c r="L73" s="1"/>
    </row>
    <row r="74" spans="1:12" x14ac:dyDescent="0.25">
      <c r="E74" s="2" t="str">
        <f>myfn_buyuk_harfe_cevir(myfn_turkceToIngilizce(myfn_bosluklariVeIsaretleridDuzenle(D74)))</f>
        <v/>
      </c>
      <c r="F74" s="1"/>
      <c r="G74" s="1"/>
      <c r="H74" s="1"/>
      <c r="I74" s="1" t="str">
        <f t="shared" si="3"/>
        <v/>
      </c>
      <c r="J74" s="1" t="str">
        <f t="shared" si="6"/>
        <v/>
      </c>
      <c r="K74" s="1" t="str">
        <f>myfn_bosluklariVeIsaretleridDuzenle(myfn_bosluklariVeIsaretleridDuzenle(IF(B74&lt;&gt;0,CONCATENATE(E74,"=",A74,","),"")))</f>
        <v/>
      </c>
      <c r="L74" s="1"/>
    </row>
    <row r="75" spans="1:12" x14ac:dyDescent="0.25">
      <c r="A75">
        <v>217</v>
      </c>
      <c r="B75">
        <v>0</v>
      </c>
      <c r="C75">
        <v>0</v>
      </c>
      <c r="D75" t="s">
        <v>107</v>
      </c>
      <c r="E75" s="2" t="str">
        <f>myfn_buyuk_harfe_cevir(myfn_turkceToIngilizce(myfn_bosluklariVeIsaretleridDuzenle(D75)))</f>
        <v>LOG_SAAT_FORMATI</v>
      </c>
      <c r="F75" s="1" t="s">
        <v>74</v>
      </c>
      <c r="G75" s="1"/>
      <c r="H75" s="1"/>
      <c r="I75" s="1" t="str">
        <f t="shared" si="3"/>
        <v>INSERT INTO t_kod (ID,TIP_ID,SIRA,KOD,KISA_AD,DIGER_UYG_ENUM_AD,DIGER_UYG_ID)VALUES(217,0,0,'Log Saat Formatı','SaatFormatı',null,null);</v>
      </c>
      <c r="J75" s="1" t="str">
        <f t="shared" si="6"/>
        <v xml:space="preserve"> public enum LOG_SAAT_FORMATI{
        }</v>
      </c>
      <c r="K75" s="1" t="str">
        <f>myfn_bosluklariVeIsaretleridDuzenle(myfn_bosluklariVeIsaretleridDuzenle(IF(B75&lt;&gt;0,CONCATENATE(E75,"=",A75,","),"")))</f>
        <v/>
      </c>
      <c r="L75" s="1"/>
    </row>
    <row r="76" spans="1:12" x14ac:dyDescent="0.25">
      <c r="A76">
        <v>2170001</v>
      </c>
      <c r="B76">
        <v>217</v>
      </c>
      <c r="C76">
        <v>1</v>
      </c>
      <c r="D76" t="s">
        <v>142</v>
      </c>
      <c r="E76" s="2" t="str">
        <f>myfn_buyuk_harfe_cevir(myfn_turkceToIngilizce(myfn_bosluklariVeIsaretleridDuzenle(D76)))</f>
        <v>SAAT:DAKIKA:SANIYE_1</v>
      </c>
      <c r="F76" s="1" t="s">
        <v>75</v>
      </c>
      <c r="G76" s="1"/>
      <c r="H76" s="1"/>
      <c r="I76" s="1" t="str">
        <f t="shared" si="3"/>
        <v>INSERT INTO t_kod (ID,TIP_ID,SIRA,KOD,KISA_AD,DIGER_UYG_ENUM_AD,DIGER_UYG_ID)VALUES(2170001,217,1,'Saat:Dakika:Saniye _1','HH:mm:ss',null,null);</v>
      </c>
      <c r="J76" s="1" t="str">
        <f t="shared" si="6"/>
        <v/>
      </c>
      <c r="K76" s="1" t="str">
        <f>myfn_bosluklariVeIsaretleridDuzenle(myfn_bosluklariVeIsaretleridDuzenle(IF(B76&lt;&gt;0,CONCATENATE(E76,"=",A76,","),"")))</f>
        <v>SAAT:DAKIKA:SANIYE_1=2170001,</v>
      </c>
      <c r="L76" s="1"/>
    </row>
    <row r="77" spans="1:12" x14ac:dyDescent="0.25">
      <c r="A77">
        <v>2170002</v>
      </c>
      <c r="B77">
        <v>217</v>
      </c>
      <c r="C77">
        <v>2</v>
      </c>
      <c r="D77" t="s">
        <v>143</v>
      </c>
      <c r="E77" s="2" t="str">
        <f>myfn_buyuk_harfe_cevir(myfn_turkceToIngilizce(myfn_bosluklariVeIsaretleridDuzenle(D77)))</f>
        <v>SAAT:DAKIKA_2</v>
      </c>
      <c r="F77" s="1" t="s">
        <v>76</v>
      </c>
      <c r="G77" s="1"/>
      <c r="H77" s="1"/>
      <c r="I77" s="1" t="str">
        <f t="shared" si="3"/>
        <v>INSERT INTO t_kod (ID,TIP_ID,SIRA,KOD,KISA_AD,DIGER_UYG_ENUM_AD,DIGER_UYG_ID)VALUES(2170002,217,2,'Saat:Dakika _2','HH:mm',null,null);</v>
      </c>
      <c r="J77" s="1" t="str">
        <f t="shared" si="6"/>
        <v/>
      </c>
      <c r="K77" s="1" t="str">
        <f>myfn_bosluklariVeIsaretleridDuzenle(myfn_bosluklariVeIsaretleridDuzenle(IF(B77&lt;&gt;0,CONCATENATE(E77,"=",A77,","),"")))</f>
        <v>SAAT:DAKIKA_2=2170002,</v>
      </c>
      <c r="L77" s="1"/>
    </row>
    <row r="78" spans="1:12" x14ac:dyDescent="0.25">
      <c r="A78">
        <v>2170003</v>
      </c>
      <c r="B78">
        <v>217</v>
      </c>
      <c r="C78">
        <v>3</v>
      </c>
      <c r="D78" t="s">
        <v>144</v>
      </c>
      <c r="E78" s="2" t="str">
        <f>myfn_buyuk_harfe_cevir(myfn_turkceToIngilizce(myfn_bosluklariVeIsaretleridDuzenle(D78)))</f>
        <v>12S:D:S_AM_PM_3</v>
      </c>
      <c r="F78" s="1" t="s">
        <v>77</v>
      </c>
      <c r="G78" s="1"/>
      <c r="H78" s="1"/>
      <c r="I78" s="1" t="str">
        <f t="shared" si="3"/>
        <v>INSERT INTO t_kod (ID,TIP_ID,SIRA,KOD,KISA_AD,DIGER_UYG_ENUM_AD,DIGER_UYG_ID)VALUES(2170003,217,3,'12S:D:S AM/PM _3','hh:mm:ss a',null,null);</v>
      </c>
      <c r="J78" s="1" t="str">
        <f t="shared" si="6"/>
        <v/>
      </c>
      <c r="K78" s="1" t="str">
        <f>myfn_bosluklariVeIsaretleridDuzenle(myfn_bosluklariVeIsaretleridDuzenle(IF(B78&lt;&gt;0,CONCATENATE(E78,"=",A78,","),"")))</f>
        <v>12S:D:S_AM_PM_3=2170003,</v>
      </c>
      <c r="L78" s="1"/>
    </row>
    <row r="79" spans="1:12" x14ac:dyDescent="0.25">
      <c r="A79">
        <v>2170004</v>
      </c>
      <c r="B79">
        <v>217</v>
      </c>
      <c r="C79">
        <v>4</v>
      </c>
      <c r="D79" t="s">
        <v>145</v>
      </c>
      <c r="E79" s="2" t="str">
        <f>myfn_buyuk_harfe_cevir(myfn_turkceToIngilizce(myfn_bosluklariVeIsaretleridDuzenle(D79)))</f>
        <v>12S:D:S_AM_PM_TEK_4</v>
      </c>
      <c r="F79" s="1" t="s">
        <v>78</v>
      </c>
      <c r="G79" s="1"/>
      <c r="H79" s="1"/>
      <c r="I79" s="1" t="str">
        <f t="shared" ref="I79:I142" si="7">IF(AND(B79&lt;&gt;""),CONCATENATE("INSERT INTO t_kod (ID,TIP_ID,SIRA,KOD,KISA_AD,DIGER_UYG_ENUM_AD,DIGER_UYG_ID)VALUES(",A79,",",B79,",",C79,,",","'",D79,"'",",","'",F79,"'",",",IF(_xlfn.IFNA(G79,0)&gt;0,CONCATENATE("'",G79,"'"),"null"),",",IF(_xlfn.IFNA(G79,0)&gt;0,CONCATENATE("'",H79,"'"),"null"),");"),"")</f>
        <v>INSERT INTO t_kod (ID,TIP_ID,SIRA,KOD,KISA_AD,DIGER_UYG_ENUM_AD,DIGER_UYG_ID)VALUES(2170004,217,4,'12S:D:S AM/PM (Tek) _4','h:mm:ss a',null,null);</v>
      </c>
      <c r="J79" s="1" t="str">
        <f t="shared" si="6"/>
        <v/>
      </c>
      <c r="K79" s="1" t="str">
        <f>myfn_bosluklariVeIsaretleridDuzenle(myfn_bosluklariVeIsaretleridDuzenle(IF(B79&lt;&gt;0,CONCATENATE(E79,"=",A79,","),"")))</f>
        <v>12S:D:S_AM_PM_TEK_4=2170004,</v>
      </c>
      <c r="L79" s="1"/>
    </row>
    <row r="80" spans="1:12" x14ac:dyDescent="0.25">
      <c r="A80">
        <v>2170005</v>
      </c>
      <c r="B80">
        <v>217</v>
      </c>
      <c r="C80">
        <v>5</v>
      </c>
      <c r="D80" t="s">
        <v>147</v>
      </c>
      <c r="E80" s="2" t="str">
        <f>myfn_buyuk_harfe_cevir(myfn_turkceToIngilizce(myfn_bosluklariVeIsaretleridDuzenle(D80)))</f>
        <v>SAAT_DAKIKA_SANIYE_5</v>
      </c>
      <c r="F80" s="1" t="s">
        <v>79</v>
      </c>
      <c r="G80" s="1"/>
      <c r="H80" s="1"/>
      <c r="I80" s="1" t="str">
        <f t="shared" si="7"/>
        <v>INSERT INTO t_kod (ID,TIP_ID,SIRA,KOD,KISA_AD,DIGER_UYG_ENUM_AD,DIGER_UYG_ID)VALUES(2170005,217,5,'Saat.Dakika.Saniye _5','HH.mm.ss',null,null);</v>
      </c>
      <c r="J80" s="1" t="str">
        <f t="shared" si="6"/>
        <v/>
      </c>
      <c r="K80" s="1" t="str">
        <f>myfn_bosluklariVeIsaretleridDuzenle(myfn_bosluklariVeIsaretleridDuzenle(IF(B80&lt;&gt;0,CONCATENATE(E80,"=",A80,","),"")))</f>
        <v>SAAT_DAKIKA_SANIYE_5=2170005,</v>
      </c>
      <c r="L80" s="1"/>
    </row>
    <row r="81" spans="1:12" x14ac:dyDescent="0.25">
      <c r="A81">
        <v>2170006</v>
      </c>
      <c r="B81">
        <v>217</v>
      </c>
      <c r="C81">
        <v>6</v>
      </c>
      <c r="D81" t="s">
        <v>146</v>
      </c>
      <c r="E81" s="2" t="str">
        <f>myfn_buyuk_harfe_cevir(myfn_turkceToIngilizce(myfn_bosluklariVeIsaretleridDuzenle(D81)))</f>
        <v>SAAT_DAKIKA_SANIYE_6</v>
      </c>
      <c r="F81" s="1" t="s">
        <v>80</v>
      </c>
      <c r="G81" s="1"/>
      <c r="H81" s="1"/>
      <c r="I81" s="1" t="str">
        <f t="shared" si="7"/>
        <v>INSERT INTO t_kod (ID,TIP_ID,SIRA,KOD,KISA_AD,DIGER_UYG_ENUM_AD,DIGER_UYG_ID)VALUES(2170006,217,6,'Saat-Dakika-Saniye _6','HH-mm-ss',null,null);</v>
      </c>
      <c r="J81" s="1" t="str">
        <f t="shared" si="6"/>
        <v/>
      </c>
      <c r="K81" s="1" t="str">
        <f>myfn_bosluklariVeIsaretleridDuzenle(myfn_bosluklariVeIsaretleridDuzenle(IF(B81&lt;&gt;0,CONCATENATE(E81,"=",A81,","),"")))</f>
        <v>SAAT_DAKIKA_SANIYE_6=2170006,</v>
      </c>
      <c r="L81" s="1"/>
    </row>
    <row r="82" spans="1:12" x14ac:dyDescent="0.25">
      <c r="E82" s="2" t="str">
        <f>myfn_buyuk_harfe_cevir(myfn_turkceToIngilizce(myfn_bosluklariVeIsaretleridDuzenle(D82)))</f>
        <v/>
      </c>
      <c r="F82" s="1"/>
      <c r="G82" s="1"/>
      <c r="H82" s="1"/>
      <c r="I82" s="1" t="str">
        <f t="shared" si="7"/>
        <v/>
      </c>
      <c r="J82" s="1" t="str">
        <f t="shared" si="6"/>
        <v/>
      </c>
      <c r="K82" s="1" t="str">
        <f>myfn_bosluklariVeIsaretleridDuzenle(myfn_bosluklariVeIsaretleridDuzenle(IF(B82&lt;&gt;0,CONCATENATE(E82,"=",A82,","),"")))</f>
        <v/>
      </c>
      <c r="L82" s="1"/>
    </row>
    <row r="83" spans="1:12" x14ac:dyDescent="0.25">
      <c r="A83">
        <v>218</v>
      </c>
      <c r="B83">
        <v>0</v>
      </c>
      <c r="C83">
        <v>0</v>
      </c>
      <c r="D83" t="s">
        <v>81</v>
      </c>
      <c r="E83" s="2" t="str">
        <f>myfn_buyuk_harfe_cevir(myfn_turkceToIngilizce(myfn_bosluklariVeIsaretleridDuzenle(D83)))</f>
        <v>LOG_ALAN_TIPI</v>
      </c>
      <c r="F83" s="1" t="s">
        <v>82</v>
      </c>
      <c r="G83" s="1"/>
      <c r="H83" s="1"/>
      <c r="I83" s="1" t="str">
        <f t="shared" si="7"/>
        <v>INSERT INTO t_kod (ID,TIP_ID,SIRA,KOD,KISA_AD,DIGER_UYG_ENUM_AD,DIGER_UYG_ID)VALUES(218,0,0,'Log Alan Tipi','AlanTipi',null,null);</v>
      </c>
      <c r="J83" s="1" t="str">
        <f t="shared" si="6"/>
        <v xml:space="preserve"> public enum LOG_ALAN_TIPI{
        }</v>
      </c>
      <c r="K83" s="1" t="str">
        <f>myfn_bosluklariVeIsaretleridDuzenle(myfn_bosluklariVeIsaretleridDuzenle(IF(B83&lt;&gt;0,CONCATENATE(E83,"=",A83,","),"")))</f>
        <v/>
      </c>
      <c r="L83" s="1"/>
    </row>
    <row r="84" spans="1:12" x14ac:dyDescent="0.25">
      <c r="A84">
        <v>2180001</v>
      </c>
      <c r="B84">
        <v>218</v>
      </c>
      <c r="C84">
        <v>1</v>
      </c>
      <c r="D84" t="s">
        <v>108</v>
      </c>
      <c r="E84" s="2" t="str">
        <f>myfn_buyuk_harfe_cevir(myfn_turkceToIngilizce(myfn_bosluklariVeIsaretleridDuzenle(D84)))</f>
        <v>METIN</v>
      </c>
      <c r="F84" s="1" t="s">
        <v>83</v>
      </c>
      <c r="G84" s="1"/>
      <c r="H84" s="1"/>
      <c r="I84" s="1" t="str">
        <f t="shared" si="7"/>
        <v>INSERT INTO t_kod (ID,TIP_ID,SIRA,KOD,KISA_AD,DIGER_UYG_ENUM_AD,DIGER_UYG_ID)VALUES(2180001,218,1,'Metin','string',null,null);</v>
      </c>
      <c r="J84" s="1" t="str">
        <f t="shared" si="6"/>
        <v/>
      </c>
      <c r="K84" s="1" t="str">
        <f>myfn_bosluklariVeIsaretleridDuzenle(myfn_bosluklariVeIsaretleridDuzenle(IF(B84&lt;&gt;0,CONCATENATE(E84,"=",A84,","),"")))</f>
        <v>METIN=2180001,</v>
      </c>
      <c r="L84" s="1"/>
    </row>
    <row r="85" spans="1:12" x14ac:dyDescent="0.25">
      <c r="A85">
        <v>2180002</v>
      </c>
      <c r="B85">
        <v>218</v>
      </c>
      <c r="C85">
        <v>2</v>
      </c>
      <c r="D85" t="s">
        <v>109</v>
      </c>
      <c r="E85" s="2" t="str">
        <f>myfn_buyuk_harfe_cevir(myfn_turkceToIngilizce(myfn_bosluklariVeIsaretleridDuzenle(D85)))</f>
        <v>SAYI</v>
      </c>
      <c r="F85" s="1" t="s">
        <v>84</v>
      </c>
      <c r="G85" s="1"/>
      <c r="H85" s="1"/>
      <c r="I85" s="1" t="str">
        <f t="shared" si="7"/>
        <v>INSERT INTO t_kod (ID,TIP_ID,SIRA,KOD,KISA_AD,DIGER_UYG_ENUM_AD,DIGER_UYG_ID)VALUES(2180002,218,2,'Sayı','number',null,null);</v>
      </c>
      <c r="J85" s="1" t="str">
        <f t="shared" si="6"/>
        <v/>
      </c>
      <c r="K85" s="1" t="str">
        <f>myfn_bosluklariVeIsaretleridDuzenle(myfn_bosluklariVeIsaretleridDuzenle(IF(B85&lt;&gt;0,CONCATENATE(E85,"=",A85,","),"")))</f>
        <v>SAYI=2180002,</v>
      </c>
      <c r="L85" s="1"/>
    </row>
    <row r="86" spans="1:12" x14ac:dyDescent="0.25">
      <c r="A86">
        <v>2180003</v>
      </c>
      <c r="B86">
        <v>218</v>
      </c>
      <c r="C86">
        <v>3</v>
      </c>
      <c r="D86" t="s">
        <v>20</v>
      </c>
      <c r="E86" s="2" t="str">
        <f>myfn_buyuk_harfe_cevir(myfn_turkceToIngilizce(myfn_bosluklariVeIsaretleridDuzenle(D86)))</f>
        <v>TARIH</v>
      </c>
      <c r="F86" s="1" t="s">
        <v>85</v>
      </c>
      <c r="G86" s="1"/>
      <c r="H86" s="1"/>
      <c r="I86" s="1" t="str">
        <f t="shared" si="7"/>
        <v>INSERT INTO t_kod (ID,TIP_ID,SIRA,KOD,KISA_AD,DIGER_UYG_ENUM_AD,DIGER_UYG_ID)VALUES(2180003,218,3,'Tarih','date',null,null);</v>
      </c>
      <c r="J86" s="1" t="str">
        <f t="shared" si="6"/>
        <v/>
      </c>
      <c r="K86" s="1" t="str">
        <f>myfn_bosluklariVeIsaretleridDuzenle(myfn_bosluklariVeIsaretleridDuzenle(IF(B86&lt;&gt;0,CONCATENATE(E86,"=",A86,","),"")))</f>
        <v>TARIH=2180003,</v>
      </c>
      <c r="L86" s="1"/>
    </row>
    <row r="87" spans="1:12" x14ac:dyDescent="0.25">
      <c r="A87">
        <v>2180004</v>
      </c>
      <c r="B87">
        <v>218</v>
      </c>
      <c r="C87">
        <v>4</v>
      </c>
      <c r="D87" t="s">
        <v>21</v>
      </c>
      <c r="E87" s="2" t="str">
        <f>myfn_buyuk_harfe_cevir(myfn_turkceToIngilizce(myfn_bosluklariVeIsaretleridDuzenle(D87)))</f>
        <v>SAAT</v>
      </c>
      <c r="F87" s="1" t="s">
        <v>86</v>
      </c>
      <c r="G87" s="1"/>
      <c r="H87" s="1"/>
      <c r="I87" s="1" t="str">
        <f t="shared" si="7"/>
        <v>INSERT INTO t_kod (ID,TIP_ID,SIRA,KOD,KISA_AD,DIGER_UYG_ENUM_AD,DIGER_UYG_ID)VALUES(2180004,218,4,'Saat','time',null,null);</v>
      </c>
      <c r="J87" s="1" t="str">
        <f t="shared" si="6"/>
        <v/>
      </c>
      <c r="K87" s="1" t="str">
        <f>myfn_bosluklariVeIsaretleridDuzenle(myfn_bosluklariVeIsaretleridDuzenle(IF(B87&lt;&gt;0,CONCATENATE(E87,"=",A87,","),"")))</f>
        <v>SAAT=2180004,</v>
      </c>
      <c r="L87" s="1"/>
    </row>
    <row r="88" spans="1:12" x14ac:dyDescent="0.25">
      <c r="A88">
        <v>2180005</v>
      </c>
      <c r="B88">
        <v>218</v>
      </c>
      <c r="C88">
        <v>5</v>
      </c>
      <c r="D88" t="s">
        <v>110</v>
      </c>
      <c r="E88" s="2" t="str">
        <f>myfn_buyuk_harfe_cevir(myfn_turkceToIngilizce(myfn_bosluklariVeIsaretleridDuzenle(D88)))</f>
        <v>TARIH_SAAT</v>
      </c>
      <c r="F88" s="1" t="s">
        <v>87</v>
      </c>
      <c r="G88" s="1"/>
      <c r="H88" s="1"/>
      <c r="I88" s="1" t="str">
        <f t="shared" si="7"/>
        <v>INSERT INTO t_kod (ID,TIP_ID,SIRA,KOD,KISA_AD,DIGER_UYG_ENUM_AD,DIGER_UYG_ID)VALUES(2180005,218,5,'Tarih-Saat','datetime',null,null);</v>
      </c>
      <c r="J88" s="1" t="str">
        <f t="shared" si="6"/>
        <v/>
      </c>
      <c r="K88" s="1" t="str">
        <f>myfn_bosluklariVeIsaretleridDuzenle(myfn_bosluklariVeIsaretleridDuzenle(IF(B88&lt;&gt;0,CONCATENATE(E88,"=",A88,","),"")))</f>
        <v>TARIH_SAAT=2180005,</v>
      </c>
      <c r="L88" s="1"/>
    </row>
    <row r="89" spans="1:12" x14ac:dyDescent="0.25">
      <c r="A89">
        <v>2180006</v>
      </c>
      <c r="B89">
        <v>218</v>
      </c>
      <c r="C89">
        <v>6</v>
      </c>
      <c r="D89" t="s">
        <v>111</v>
      </c>
      <c r="E89" s="2" t="str">
        <f>myfn_buyuk_harfe_cevir(myfn_turkceToIngilizce(myfn_bosluklariVeIsaretleridDuzenle(D89)))</f>
        <v>MANTIKSAL</v>
      </c>
      <c r="F89" s="1" t="s">
        <v>88</v>
      </c>
      <c r="G89" s="1"/>
      <c r="H89" s="1"/>
      <c r="I89" s="1" t="str">
        <f t="shared" si="7"/>
        <v>INSERT INTO t_kod (ID,TIP_ID,SIRA,KOD,KISA_AD,DIGER_UYG_ENUM_AD,DIGER_UYG_ID)VALUES(2180006,218,6,'Mantıksal','boolean',null,null);</v>
      </c>
      <c r="J89" s="1" t="str">
        <f t="shared" si="6"/>
        <v/>
      </c>
      <c r="K89" s="1" t="str">
        <f>myfn_bosluklariVeIsaretleridDuzenle(myfn_bosluklariVeIsaretleridDuzenle(IF(B89&lt;&gt;0,CONCATENATE(E89,"=",A89,","),"")))</f>
        <v>MANTIKSAL=2180006,</v>
      </c>
      <c r="L89" s="1"/>
    </row>
    <row r="90" spans="1:12" x14ac:dyDescent="0.25">
      <c r="E90" s="2" t="str">
        <f>myfn_buyuk_harfe_cevir(myfn_turkceToIngilizce(myfn_bosluklariVeIsaretleridDuzenle(D90)))</f>
        <v/>
      </c>
      <c r="F90" s="1"/>
      <c r="G90" s="1"/>
      <c r="H90" s="1"/>
      <c r="I90" s="1" t="str">
        <f t="shared" si="7"/>
        <v/>
      </c>
      <c r="J90" s="1" t="str">
        <f t="shared" si="6"/>
        <v/>
      </c>
      <c r="K90" s="1" t="str">
        <f>myfn_bosluklariVeIsaretleridDuzenle(myfn_bosluklariVeIsaretleridDuzenle(IF(B90&lt;&gt;0,CONCATENATE(E90,"=",A90,","),"")))</f>
        <v/>
      </c>
      <c r="L90" s="1"/>
    </row>
    <row r="91" spans="1:12" x14ac:dyDescent="0.25">
      <c r="A91">
        <v>219</v>
      </c>
      <c r="B91">
        <v>0</v>
      </c>
      <c r="C91">
        <v>0</v>
      </c>
      <c r="D91" t="s">
        <v>89</v>
      </c>
      <c r="E91" s="2" t="str">
        <f>myfn_buyuk_harfe_cevir(myfn_turkceToIngilizce(myfn_bosluklariVeIsaretleridDuzenle(D91)))</f>
        <v>LOG_TANIMLI_ALAN</v>
      </c>
      <c r="F91" s="1" t="s">
        <v>126</v>
      </c>
      <c r="G91" s="1"/>
      <c r="H91" s="1"/>
      <c r="I91" s="1" t="str">
        <f t="shared" si="7"/>
        <v>INSERT INTO t_kod (ID,TIP_ID,SIRA,KOD,KISA_AD,DIGER_UYG_ENUM_AD,DIGER_UYG_ID)VALUES(219,0,0,'Log Tanımlı Alan','TanımlıAlan',null,null);</v>
      </c>
      <c r="J91" s="1" t="str">
        <f t="shared" si="6"/>
        <v xml:space="preserve"> public enum LOG_TANIMLI_ALAN{
        }</v>
      </c>
      <c r="K91" s="1" t="str">
        <f>myfn_bosluklariVeIsaretleridDuzenle(myfn_bosluklariVeIsaretleridDuzenle(IF(B91&lt;&gt;0,CONCATENATE(E91,"=",A91,","),"")))</f>
        <v/>
      </c>
      <c r="L91" s="1"/>
    </row>
    <row r="92" spans="1:12" x14ac:dyDescent="0.25">
      <c r="A92">
        <v>2190001</v>
      </c>
      <c r="B92">
        <v>219</v>
      </c>
      <c r="C92">
        <v>1</v>
      </c>
      <c r="D92" t="s">
        <v>19</v>
      </c>
      <c r="E92" s="2" t="str">
        <f>myfn_buyuk_harfe_cevir(myfn_turkceToIngilizce(myfn_bosluklariVeIsaretleridDuzenle(D92)))</f>
        <v>KULLANICI_ID</v>
      </c>
      <c r="F92" s="1" t="s">
        <v>90</v>
      </c>
      <c r="G92" s="1"/>
      <c r="H92" s="1"/>
      <c r="I92" s="1" t="str">
        <f t="shared" si="7"/>
        <v>INSERT INTO t_kod (ID,TIP_ID,SIRA,KOD,KISA_AD,DIGER_UYG_ENUM_AD,DIGER_UYG_ID)VALUES(2190001,219,1,'Kullanıcı ID','userId',null,null);</v>
      </c>
      <c r="J92" s="1" t="str">
        <f t="shared" si="6"/>
        <v/>
      </c>
      <c r="K92" s="1" t="str">
        <f>myfn_bosluklariVeIsaretleridDuzenle(myfn_bosluklariVeIsaretleridDuzenle(IF(B92&lt;&gt;0,CONCATENATE(E92,"=",A92,","),"")))</f>
        <v>KULLANICI_ID=2190001,</v>
      </c>
      <c r="L92" s="1"/>
    </row>
    <row r="93" spans="1:12" x14ac:dyDescent="0.25">
      <c r="A93">
        <v>2190002</v>
      </c>
      <c r="B93">
        <v>219</v>
      </c>
      <c r="C93">
        <v>2</v>
      </c>
      <c r="D93" t="s">
        <v>20</v>
      </c>
      <c r="E93" s="2" t="str">
        <f>myfn_buyuk_harfe_cevir(myfn_turkceToIngilizce(myfn_bosluklariVeIsaretleridDuzenle(D93)))</f>
        <v>TARIH</v>
      </c>
      <c r="F93" s="1" t="s">
        <v>85</v>
      </c>
      <c r="G93" s="1"/>
      <c r="H93" s="1"/>
      <c r="I93" s="1" t="str">
        <f t="shared" si="7"/>
        <v>INSERT INTO t_kod (ID,TIP_ID,SIRA,KOD,KISA_AD,DIGER_UYG_ENUM_AD,DIGER_UYG_ID)VALUES(2190002,219,2,'Tarih','date',null,null);</v>
      </c>
      <c r="J93" s="1" t="str">
        <f t="shared" si="6"/>
        <v/>
      </c>
      <c r="K93" s="1" t="str">
        <f>myfn_bosluklariVeIsaretleridDuzenle(myfn_bosluklariVeIsaretleridDuzenle(IF(B93&lt;&gt;0,CONCATENATE(E93,"=",A93,","),"")))</f>
        <v>TARIH=2190002,</v>
      </c>
      <c r="L93" s="1"/>
    </row>
    <row r="94" spans="1:12" x14ac:dyDescent="0.25">
      <c r="A94">
        <v>2190003</v>
      </c>
      <c r="B94">
        <v>219</v>
      </c>
      <c r="C94">
        <v>3</v>
      </c>
      <c r="D94" t="s">
        <v>21</v>
      </c>
      <c r="E94" s="2" t="str">
        <f>myfn_buyuk_harfe_cevir(myfn_turkceToIngilizce(myfn_bosluklariVeIsaretleridDuzenle(D94)))</f>
        <v>SAAT</v>
      </c>
      <c r="F94" s="1" t="s">
        <v>86</v>
      </c>
      <c r="G94" s="1"/>
      <c r="H94" s="1"/>
      <c r="I94" s="1" t="str">
        <f t="shared" si="7"/>
        <v>INSERT INTO t_kod (ID,TIP_ID,SIRA,KOD,KISA_AD,DIGER_UYG_ENUM_AD,DIGER_UYG_ID)VALUES(2190003,219,3,'Saat','time',null,null);</v>
      </c>
      <c r="J94" s="1" t="str">
        <f t="shared" si="6"/>
        <v/>
      </c>
      <c r="K94" s="1" t="str">
        <f>myfn_bosluklariVeIsaretleridDuzenle(myfn_bosluklariVeIsaretleridDuzenle(IF(B94&lt;&gt;0,CONCATENATE(E94,"=",A94,","),"")))</f>
        <v>SAAT=2190003,</v>
      </c>
      <c r="L94" s="1"/>
    </row>
    <row r="95" spans="1:12" x14ac:dyDescent="0.25">
      <c r="A95">
        <v>2190004</v>
      </c>
      <c r="B95">
        <v>219</v>
      </c>
      <c r="C95">
        <v>4</v>
      </c>
      <c r="D95" t="s">
        <v>110</v>
      </c>
      <c r="E95" s="2" t="str">
        <f>myfn_buyuk_harfe_cevir(myfn_turkceToIngilizce(myfn_bosluklariVeIsaretleridDuzenle(D95)))</f>
        <v>TARIH_SAAT</v>
      </c>
      <c r="F95" s="1" t="s">
        <v>87</v>
      </c>
      <c r="G95" s="1"/>
      <c r="H95" s="1"/>
      <c r="I95" s="1" t="str">
        <f t="shared" si="7"/>
        <v>INSERT INTO t_kod (ID,TIP_ID,SIRA,KOD,KISA_AD,DIGER_UYG_ENUM_AD,DIGER_UYG_ID)VALUES(2190004,219,4,'Tarih-Saat','datetime',null,null);</v>
      </c>
      <c r="J95" s="1" t="str">
        <f t="shared" si="6"/>
        <v/>
      </c>
      <c r="K95" s="1" t="str">
        <f>myfn_bosluklariVeIsaretleridDuzenle(myfn_bosluklariVeIsaretleridDuzenle(IF(B95&lt;&gt;0,CONCATENATE(E95,"=",A95,","),"")))</f>
        <v>TARIH_SAAT=2190004,</v>
      </c>
      <c r="L95" s="1"/>
    </row>
    <row r="96" spans="1:12" x14ac:dyDescent="0.25">
      <c r="A96">
        <v>2190005</v>
      </c>
      <c r="B96">
        <v>219</v>
      </c>
      <c r="C96">
        <v>5</v>
      </c>
      <c r="D96" t="s">
        <v>112</v>
      </c>
      <c r="E96" s="2" t="str">
        <f>myfn_buyuk_harfe_cevir(myfn_turkceToIngilizce(myfn_bosluklariVeIsaretleridDuzenle(D96)))</f>
        <v>DURUM</v>
      </c>
      <c r="F96" s="1" t="s">
        <v>91</v>
      </c>
      <c r="G96" s="1"/>
      <c r="H96" s="1"/>
      <c r="I96" s="1" t="str">
        <f t="shared" si="7"/>
        <v>INSERT INTO t_kod (ID,TIP_ID,SIRA,KOD,KISA_AD,DIGER_UYG_ENUM_AD,DIGER_UYG_ID)VALUES(2190005,219,5,'Durum','status',null,null);</v>
      </c>
      <c r="J96" s="1" t="str">
        <f t="shared" si="6"/>
        <v/>
      </c>
      <c r="K96" s="1" t="str">
        <f>myfn_bosluklariVeIsaretleridDuzenle(myfn_bosluklariVeIsaretleridDuzenle(IF(B96&lt;&gt;0,CONCATENATE(E96,"=",A96,","),"")))</f>
        <v>DURUM=2190005,</v>
      </c>
      <c r="L96" s="1"/>
    </row>
    <row r="97" spans="1:12" x14ac:dyDescent="0.25">
      <c r="A97">
        <v>2190006</v>
      </c>
      <c r="B97">
        <v>219</v>
      </c>
      <c r="C97">
        <v>6</v>
      </c>
      <c r="D97" t="s">
        <v>113</v>
      </c>
      <c r="E97" s="2" t="str">
        <f>myfn_buyuk_harfe_cevir(myfn_turkceToIngilizce(myfn_bosluklariVeIsaretleridDuzenle(D97)))</f>
        <v>ISLEM</v>
      </c>
      <c r="F97" s="1" t="s">
        <v>92</v>
      </c>
      <c r="G97" s="1"/>
      <c r="H97" s="1"/>
      <c r="I97" s="1" t="str">
        <f t="shared" si="7"/>
        <v>INSERT INTO t_kod (ID,TIP_ID,SIRA,KOD,KISA_AD,DIGER_UYG_ENUM_AD,DIGER_UYG_ID)VALUES(2190006,219,6,'İşlem','action',null,null);</v>
      </c>
      <c r="J97" s="1" t="str">
        <f t="shared" si="6"/>
        <v/>
      </c>
      <c r="K97" s="1" t="str">
        <f>myfn_bosluklariVeIsaretleridDuzenle(myfn_bosluklariVeIsaretleridDuzenle(IF(B97&lt;&gt;0,CONCATENATE(E97,"=",A97,","),"")))</f>
        <v>ISLEM=2190006,</v>
      </c>
      <c r="L97" s="1"/>
    </row>
    <row r="98" spans="1:12" x14ac:dyDescent="0.25">
      <c r="A98">
        <v>2190007</v>
      </c>
      <c r="B98">
        <v>219</v>
      </c>
      <c r="C98">
        <v>7</v>
      </c>
      <c r="D98" t="s">
        <v>114</v>
      </c>
      <c r="E98" s="2" t="str">
        <f>myfn_buyuk_harfe_cevir(myfn_turkceToIngilizce(myfn_bosluklariVeIsaretleridDuzenle(D98)))</f>
        <v>OLAY_KODU</v>
      </c>
      <c r="F98" s="1" t="s">
        <v>93</v>
      </c>
      <c r="G98" s="1"/>
      <c r="H98" s="1"/>
      <c r="I98" s="1" t="str">
        <f t="shared" si="7"/>
        <v>INSERT INTO t_kod (ID,TIP_ID,SIRA,KOD,KISA_AD,DIGER_UYG_ENUM_AD,DIGER_UYG_ID)VALUES(2190007,219,7,'Olay Kodu','eventCode',null,null);</v>
      </c>
      <c r="J98" s="1" t="str">
        <f t="shared" si="6"/>
        <v/>
      </c>
      <c r="K98" s="1" t="str">
        <f>myfn_bosluklariVeIsaretleridDuzenle(myfn_bosluklariVeIsaretleridDuzenle(IF(B98&lt;&gt;0,CONCATENATE(E98,"=",A98,","),"")))</f>
        <v>OLAY_KODU=2190007,</v>
      </c>
      <c r="L98" s="1"/>
    </row>
    <row r="99" spans="1:12" x14ac:dyDescent="0.25">
      <c r="A99">
        <v>2190008</v>
      </c>
      <c r="B99">
        <v>219</v>
      </c>
      <c r="C99">
        <v>8</v>
      </c>
      <c r="D99" t="s">
        <v>23</v>
      </c>
      <c r="E99" s="2" t="str">
        <f>myfn_buyuk_harfe_cevir(myfn_turkceToIngilizce(myfn_bosluklariVeIsaretleridDuzenle(D99)))</f>
        <v>CIHAZ_ID</v>
      </c>
      <c r="F99" s="1" t="s">
        <v>94</v>
      </c>
      <c r="G99" s="1"/>
      <c r="H99" s="1"/>
      <c r="I99" s="1" t="str">
        <f t="shared" si="7"/>
        <v>INSERT INTO t_kod (ID,TIP_ID,SIRA,KOD,KISA_AD,DIGER_UYG_ENUM_AD,DIGER_UYG_ID)VALUES(2190008,219,8,'Cihaz ID','deviceId',null,null);</v>
      </c>
      <c r="J99" s="1" t="str">
        <f t="shared" si="6"/>
        <v/>
      </c>
      <c r="K99" s="1" t="str">
        <f>myfn_bosluklariVeIsaretleridDuzenle(myfn_bosluklariVeIsaretleridDuzenle(IF(B99&lt;&gt;0,CONCATENATE(E99,"=",A99,","),"")))</f>
        <v>CIHAZ_ID=2190008,</v>
      </c>
      <c r="L99" s="1"/>
    </row>
    <row r="100" spans="1:12" x14ac:dyDescent="0.25">
      <c r="A100">
        <v>2190009</v>
      </c>
      <c r="B100">
        <v>219</v>
      </c>
      <c r="C100">
        <v>9</v>
      </c>
      <c r="D100" t="s">
        <v>115</v>
      </c>
      <c r="E100" s="2" t="str">
        <f>myfn_buyuk_harfe_cevir(myfn_turkceToIngilizce(myfn_bosluklariVeIsaretleridDuzenle(D100)))</f>
        <v>KART_NO</v>
      </c>
      <c r="F100" s="1" t="s">
        <v>95</v>
      </c>
      <c r="G100" s="1"/>
      <c r="H100" s="1"/>
      <c r="I100" s="1" t="str">
        <f t="shared" si="7"/>
        <v>INSERT INTO t_kod (ID,TIP_ID,SIRA,KOD,KISA_AD,DIGER_UYG_ENUM_AD,DIGER_UYG_ID)VALUES(2190009,219,9,'Kart No','cardNo',null,null);</v>
      </c>
      <c r="J100" s="1" t="str">
        <f t="shared" si="6"/>
        <v/>
      </c>
      <c r="K100" s="1" t="str">
        <f>myfn_bosluklariVeIsaretleridDuzenle(myfn_bosluklariVeIsaretleridDuzenle(IF(B100&lt;&gt;0,CONCATENATE(E100,"=",A100,","),"")))</f>
        <v>KART_NO=2190009,</v>
      </c>
      <c r="L100" s="1"/>
    </row>
    <row r="101" spans="1:12" x14ac:dyDescent="0.25">
      <c r="A101">
        <v>2190010</v>
      </c>
      <c r="B101">
        <v>219</v>
      </c>
      <c r="C101">
        <v>10</v>
      </c>
      <c r="D101" t="s">
        <v>116</v>
      </c>
      <c r="E101" s="2" t="str">
        <f>myfn_buyuk_harfe_cevir(myfn_turkceToIngilizce(myfn_bosluklariVeIsaretleridDuzenle(D101)))</f>
        <v>PERSONEL_NO</v>
      </c>
      <c r="F101" s="1" t="s">
        <v>96</v>
      </c>
      <c r="G101" s="1"/>
      <c r="H101" s="1"/>
      <c r="I101" s="1" t="str">
        <f t="shared" si="7"/>
        <v>INSERT INTO t_kod (ID,TIP_ID,SIRA,KOD,KISA_AD,DIGER_UYG_ENUM_AD,DIGER_UYG_ID)VALUES(2190010,219,10,'Personel No','personelNo',null,null);</v>
      </c>
      <c r="J101" s="1" t="str">
        <f t="shared" si="6"/>
        <v/>
      </c>
      <c r="K101" s="1" t="str">
        <f>myfn_bosluklariVeIsaretleridDuzenle(myfn_bosluklariVeIsaretleridDuzenle(IF(B101&lt;&gt;0,CONCATENATE(E101,"=",A101,","),"")))</f>
        <v>PERSONEL_NO=2190010,</v>
      </c>
      <c r="L101" s="1"/>
    </row>
    <row r="102" spans="1:12" x14ac:dyDescent="0.25">
      <c r="A102">
        <v>2190011</v>
      </c>
      <c r="B102">
        <v>219</v>
      </c>
      <c r="C102">
        <v>11</v>
      </c>
      <c r="D102" t="s">
        <v>117</v>
      </c>
      <c r="E102" s="2" t="str">
        <f>myfn_buyuk_harfe_cevir(myfn_turkceToIngilizce(myfn_bosluklariVeIsaretleridDuzenle(D102)))</f>
        <v>SICIL_NO</v>
      </c>
      <c r="F102" s="1" t="s">
        <v>97</v>
      </c>
      <c r="G102" s="1"/>
      <c r="H102" s="1"/>
      <c r="I102" s="1" t="str">
        <f t="shared" si="7"/>
        <v>INSERT INTO t_kod (ID,TIP_ID,SIRA,KOD,KISA_AD,DIGER_UYG_ENUM_AD,DIGER_UYG_ID)VALUES(2190011,219,11,'Sicil No','sicilNo',null,null);</v>
      </c>
      <c r="J102" s="1" t="str">
        <f t="shared" si="6"/>
        <v/>
      </c>
      <c r="K102" s="1" t="str">
        <f>myfn_bosluklariVeIsaretleridDuzenle(myfn_bosluklariVeIsaretleridDuzenle(IF(B102&lt;&gt;0,CONCATENATE(E102,"=",A102,","),"")))</f>
        <v>SICIL_NO=2190011,</v>
      </c>
      <c r="L102" s="1"/>
    </row>
    <row r="103" spans="1:12" x14ac:dyDescent="0.25">
      <c r="A103">
        <v>2190012</v>
      </c>
      <c r="B103">
        <v>219</v>
      </c>
      <c r="C103">
        <v>12</v>
      </c>
      <c r="D103" t="s">
        <v>118</v>
      </c>
      <c r="E103" s="2" t="str">
        <f>myfn_buyuk_harfe_cevir(myfn_turkceToIngilizce(myfn_bosluklariVeIsaretleridDuzenle(D103)))</f>
        <v>MESAJ</v>
      </c>
      <c r="F103" s="1" t="s">
        <v>98</v>
      </c>
      <c r="G103" s="1"/>
      <c r="H103" s="1"/>
      <c r="I103" s="1" t="str">
        <f t="shared" si="7"/>
        <v>INSERT INTO t_kod (ID,TIP_ID,SIRA,KOD,KISA_AD,DIGER_UYG_ENUM_AD,DIGER_UYG_ID)VALUES(2190012,219,12,'Mesaj','message',null,null);</v>
      </c>
      <c r="J103" s="1" t="str">
        <f t="shared" si="6"/>
        <v/>
      </c>
      <c r="K103" s="1" t="str">
        <f>myfn_bosluklariVeIsaretleridDuzenle(myfn_bosluklariVeIsaretleridDuzenle(IF(B103&lt;&gt;0,CONCATENATE(E103,"=",A103,","),"")))</f>
        <v>MESAJ=2190012,</v>
      </c>
      <c r="L103" s="1"/>
    </row>
    <row r="104" spans="1:12" x14ac:dyDescent="0.25">
      <c r="A104">
        <v>2190013</v>
      </c>
      <c r="B104">
        <v>219</v>
      </c>
      <c r="C104">
        <v>13</v>
      </c>
      <c r="D104" t="s">
        <v>119</v>
      </c>
      <c r="E104" s="2" t="str">
        <f>myfn_buyuk_harfe_cevir(myfn_turkceToIngilizce(myfn_bosluklariVeIsaretleridDuzenle(D104)))</f>
        <v>LOG_SEVIYESI</v>
      </c>
      <c r="F104" s="1" t="s">
        <v>99</v>
      </c>
      <c r="G104" s="1"/>
      <c r="H104" s="1"/>
      <c r="I104" s="1" t="str">
        <f t="shared" si="7"/>
        <v>INSERT INTO t_kod (ID,TIP_ID,SIRA,KOD,KISA_AD,DIGER_UYG_ENUM_AD,DIGER_UYG_ID)VALUES(2190013,219,13,'Log Seviyesi','logLevel',null,null);</v>
      </c>
      <c r="J104" s="1" t="str">
        <f t="shared" si="6"/>
        <v/>
      </c>
      <c r="K104" s="1" t="str">
        <f>myfn_bosluklariVeIsaretleridDuzenle(myfn_bosluklariVeIsaretleridDuzenle(IF(B104&lt;&gt;0,CONCATENATE(E104,"=",A104,","),"")))</f>
        <v>LOG_SEVIYESI=2190013,</v>
      </c>
      <c r="L104" s="1"/>
    </row>
    <row r="105" spans="1:12" x14ac:dyDescent="0.25">
      <c r="A105">
        <v>2190014</v>
      </c>
      <c r="B105">
        <v>219</v>
      </c>
      <c r="C105">
        <v>14</v>
      </c>
      <c r="D105" t="s">
        <v>120</v>
      </c>
      <c r="E105" s="2" t="str">
        <f>myfn_buyuk_harfe_cevir(myfn_turkceToIngilizce(myfn_bosluklariVeIsaretleridDuzenle(D105)))</f>
        <v>KAPI_ID</v>
      </c>
      <c r="F105" s="1" t="s">
        <v>100</v>
      </c>
      <c r="G105" s="1"/>
      <c r="H105" s="1"/>
      <c r="I105" s="1" t="str">
        <f t="shared" si="7"/>
        <v>INSERT INTO t_kod (ID,TIP_ID,SIRA,KOD,KISA_AD,DIGER_UYG_ENUM_AD,DIGER_UYG_ID)VALUES(2190014,219,14,'Kapı ID','gateId',null,null);</v>
      </c>
      <c r="J105" s="1" t="str">
        <f t="shared" si="6"/>
        <v/>
      </c>
      <c r="K105" s="1" t="str">
        <f>myfn_bosluklariVeIsaretleridDuzenle(myfn_bosluklariVeIsaretleridDuzenle(IF(B105&lt;&gt;0,CONCATENATE(E105,"=",A105,","),"")))</f>
        <v>KAPI_ID=2190014,</v>
      </c>
      <c r="L105" s="1"/>
    </row>
    <row r="106" spans="1:12" x14ac:dyDescent="0.25">
      <c r="A106">
        <v>2190015</v>
      </c>
      <c r="B106">
        <v>219</v>
      </c>
      <c r="C106">
        <v>15</v>
      </c>
      <c r="D106" t="s">
        <v>22</v>
      </c>
      <c r="E106" s="2" t="str">
        <f>myfn_buyuk_harfe_cevir(myfn_turkceToIngilizce(myfn_bosluklariVeIsaretleridDuzenle(D106)))</f>
        <v>YON</v>
      </c>
      <c r="F106" s="1" t="s">
        <v>101</v>
      </c>
      <c r="G106" s="1"/>
      <c r="H106" s="1"/>
      <c r="I106" s="1" t="str">
        <f t="shared" si="7"/>
        <v>INSERT INTO t_kod (ID,TIP_ID,SIRA,KOD,KISA_AD,DIGER_UYG_ENUM_AD,DIGER_UYG_ID)VALUES(2190015,219,15,'Yön','direction',null,null);</v>
      </c>
      <c r="J106" s="1" t="str">
        <f t="shared" si="6"/>
        <v/>
      </c>
      <c r="K106" s="1" t="str">
        <f>myfn_bosluklariVeIsaretleridDuzenle(myfn_bosluklariVeIsaretleridDuzenle(IF(B106&lt;&gt;0,CONCATENATE(E106,"=",A106,","),"")))</f>
        <v>YON=2190015,</v>
      </c>
      <c r="L106" s="1"/>
    </row>
    <row r="107" spans="1:12" x14ac:dyDescent="0.25">
      <c r="A107">
        <v>2190016</v>
      </c>
      <c r="B107">
        <v>219</v>
      </c>
      <c r="C107">
        <v>16</v>
      </c>
      <c r="D107" t="s">
        <v>121</v>
      </c>
      <c r="E107" s="2" t="str">
        <f>myfn_buyuk_harfe_cevir(myfn_turkceToIngilizce(myfn_bosluklariVeIsaretleridDuzenle(D107)))</f>
        <v>IP_ADRESI</v>
      </c>
      <c r="F107" s="1" t="s">
        <v>102</v>
      </c>
      <c r="G107" s="1"/>
      <c r="H107" s="1"/>
      <c r="I107" s="1" t="str">
        <f t="shared" si="7"/>
        <v>INSERT INTO t_kod (ID,TIP_ID,SIRA,KOD,KISA_AD,DIGER_UYG_ENUM_AD,DIGER_UYG_ID)VALUES(2190016,219,16,'IP Adresi','ipAddress',null,null);</v>
      </c>
      <c r="J107" s="1" t="str">
        <f t="shared" si="6"/>
        <v/>
      </c>
      <c r="K107" s="1" t="str">
        <f>myfn_bosluklariVeIsaretleridDuzenle(myfn_bosluklariVeIsaretleridDuzenle(IF(B107&lt;&gt;0,CONCATENATE(E107,"=",A107,","),"")))</f>
        <v>IP_ADRESI=2190016,</v>
      </c>
      <c r="L107" s="1"/>
    </row>
    <row r="108" spans="1:12" x14ac:dyDescent="0.25">
      <c r="A108">
        <v>2190017</v>
      </c>
      <c r="B108">
        <v>219</v>
      </c>
      <c r="C108">
        <v>17</v>
      </c>
      <c r="D108" t="s">
        <v>122</v>
      </c>
      <c r="E108" s="2" t="str">
        <f>myfn_buyuk_harfe_cevir(myfn_turkceToIngilizce(myfn_bosluklariVeIsaretleridDuzenle(D108)))</f>
        <v>MAC_ADRESI</v>
      </c>
      <c r="F108" s="1" t="s">
        <v>103</v>
      </c>
      <c r="G108" s="1"/>
      <c r="H108" s="1"/>
      <c r="I108" s="1" t="str">
        <f t="shared" si="7"/>
        <v>INSERT INTO t_kod (ID,TIP_ID,SIRA,KOD,KISA_AD,DIGER_UYG_ENUM_AD,DIGER_UYG_ID)VALUES(2190017,219,17,'MAC Adresi','macAddress',null,null);</v>
      </c>
      <c r="J108" s="1" t="str">
        <f t="shared" si="6"/>
        <v/>
      </c>
      <c r="K108" s="1" t="str">
        <f>myfn_bosluklariVeIsaretleridDuzenle(myfn_bosluklariVeIsaretleridDuzenle(IF(B108&lt;&gt;0,CONCATENATE(E108,"=",A108,","),"")))</f>
        <v>MAC_ADRESI=2190017,</v>
      </c>
      <c r="L108" s="1"/>
    </row>
    <row r="109" spans="1:12" x14ac:dyDescent="0.25">
      <c r="A109">
        <v>2190018</v>
      </c>
      <c r="B109">
        <v>219</v>
      </c>
      <c r="C109">
        <v>18</v>
      </c>
      <c r="D109" t="s">
        <v>123</v>
      </c>
      <c r="E109" s="2" t="str">
        <f>myfn_buyuk_harfe_cevir(myfn_turkceToIngilizce(myfn_bosluklariVeIsaretleridDuzenle(D109)))</f>
        <v>SERI_NO</v>
      </c>
      <c r="F109" s="1" t="s">
        <v>104</v>
      </c>
      <c r="G109" s="1"/>
      <c r="H109" s="1"/>
      <c r="I109" s="1" t="str">
        <f t="shared" si="7"/>
        <v>INSERT INTO t_kod (ID,TIP_ID,SIRA,KOD,KISA_AD,DIGER_UYG_ENUM_AD,DIGER_UYG_ID)VALUES(2190018,219,18,'Seri No','serialNumber',null,null);</v>
      </c>
      <c r="J109" s="1" t="str">
        <f t="shared" si="6"/>
        <v/>
      </c>
      <c r="K109" s="1" t="str">
        <f>myfn_bosluklariVeIsaretleridDuzenle(myfn_bosluklariVeIsaretleridDuzenle(IF(B109&lt;&gt;0,CONCATENATE(E109,"=",A109,","),"")))</f>
        <v>SERI_NO=2190018,</v>
      </c>
      <c r="L109" s="1"/>
    </row>
    <row r="110" spans="1:12" x14ac:dyDescent="0.25">
      <c r="A110">
        <v>2190019</v>
      </c>
      <c r="B110">
        <v>219</v>
      </c>
      <c r="C110">
        <v>19</v>
      </c>
      <c r="D110" t="s">
        <v>124</v>
      </c>
      <c r="E110" s="2" t="str">
        <f>myfn_buyuk_harfe_cevir(myfn_turkceToIngilizce(myfn_bosluklariVeIsaretleridDuzenle(D110)))</f>
        <v>YAZILIM_SURUMU</v>
      </c>
      <c r="F110" s="1" t="s">
        <v>105</v>
      </c>
      <c r="G110" s="1"/>
      <c r="H110" s="1"/>
      <c r="I110" s="1" t="str">
        <f t="shared" si="7"/>
        <v>INSERT INTO t_kod (ID,TIP_ID,SIRA,KOD,KISA_AD,DIGER_UYG_ENUM_AD,DIGER_UYG_ID)VALUES(2190019,219,19,'Yazılım Sürümü','firmwareVersion',null,null);</v>
      </c>
      <c r="J110" s="1" t="str">
        <f t="shared" si="6"/>
        <v/>
      </c>
      <c r="K110" s="1" t="str">
        <f>myfn_bosluklariVeIsaretleridDuzenle(myfn_bosluklariVeIsaretleridDuzenle(IF(B110&lt;&gt;0,CONCATENATE(E110,"=",A110,","),"")))</f>
        <v>YAZILIM_SURUMU=2190019,</v>
      </c>
      <c r="L110" s="1"/>
    </row>
    <row r="111" spans="1:12" x14ac:dyDescent="0.25">
      <c r="A111">
        <v>2190020</v>
      </c>
      <c r="B111">
        <v>219</v>
      </c>
      <c r="C111">
        <v>20</v>
      </c>
      <c r="D111" t="s">
        <v>125</v>
      </c>
      <c r="E111" s="2" t="str">
        <f>myfn_buyuk_harfe_cevir(myfn_turkceToIngilizce(myfn_bosluklariVeIsaretleridDuzenle(D111)))</f>
        <v>KONUM</v>
      </c>
      <c r="F111" s="1" t="s">
        <v>106</v>
      </c>
      <c r="G111" s="1"/>
      <c r="H111" s="1"/>
      <c r="I111" s="1" t="str">
        <f t="shared" si="7"/>
        <v>INSERT INTO t_kod (ID,TIP_ID,SIRA,KOD,KISA_AD,DIGER_UYG_ENUM_AD,DIGER_UYG_ID)VALUES(2190020,219,20,'Konum','location',null,null);</v>
      </c>
      <c r="J111" s="1" t="str">
        <f t="shared" si="6"/>
        <v/>
      </c>
      <c r="K111" s="1" t="str">
        <f>myfn_bosluklariVeIsaretleridDuzenle(myfn_bosluklariVeIsaretleridDuzenle(IF(B111&lt;&gt;0,CONCATENATE(E111,"=",A111,","),"")))</f>
        <v>KONUM=2190020,</v>
      </c>
      <c r="L111" s="1"/>
    </row>
    <row r="112" spans="1:12" x14ac:dyDescent="0.25">
      <c r="E112" s="2" t="str">
        <f>myfn_buyuk_harfe_cevir(myfn_turkceToIngilizce(myfn_bosluklariVeIsaretleridDuzenle(D112)))</f>
        <v/>
      </c>
      <c r="F112" s="1"/>
      <c r="G112" s="1"/>
      <c r="H112" s="1"/>
      <c r="I112" s="1" t="str">
        <f t="shared" si="7"/>
        <v/>
      </c>
      <c r="J112" s="1" t="str">
        <f t="shared" si="6"/>
        <v/>
      </c>
      <c r="K112" s="1" t="str">
        <f>myfn_bosluklariVeIsaretleridDuzenle(myfn_bosluklariVeIsaretleridDuzenle(IF(B112&lt;&gt;0,CONCATENATE(E112,"=",A112,","),"")))</f>
        <v/>
      </c>
      <c r="L112" s="1"/>
    </row>
    <row r="113" spans="5:12" x14ac:dyDescent="0.25">
      <c r="E113" s="2" t="str">
        <f>myfn_buyuk_harfe_cevir(myfn_turkceToIngilizce(myfn_bosluklariVeIsaretleridDuzenle(D113)))</f>
        <v/>
      </c>
      <c r="F113" s="1"/>
      <c r="G113" s="1"/>
      <c r="H113" s="1"/>
      <c r="I113" s="1" t="str">
        <f t="shared" si="7"/>
        <v/>
      </c>
      <c r="J113" s="1" t="str">
        <f t="shared" si="6"/>
        <v/>
      </c>
      <c r="K113" s="1" t="str">
        <f>myfn_bosluklariVeIsaretleridDuzenle(myfn_bosluklariVeIsaretleridDuzenle(IF(B113&lt;&gt;0,CONCATENATE(E113,"=",A113,","),"")))</f>
        <v/>
      </c>
      <c r="L113" s="1"/>
    </row>
    <row r="114" spans="5:12" x14ac:dyDescent="0.25">
      <c r="E114" s="2" t="str">
        <f>myfn_buyuk_harfe_cevir(myfn_turkceToIngilizce(myfn_bosluklariVeIsaretleridDuzenle(D114)))</f>
        <v/>
      </c>
      <c r="F114" s="1"/>
      <c r="G114" s="1"/>
      <c r="H114" s="1"/>
      <c r="I114" s="1" t="str">
        <f t="shared" si="7"/>
        <v/>
      </c>
      <c r="J114" s="1" t="str">
        <f t="shared" si="6"/>
        <v/>
      </c>
      <c r="K114" s="1" t="str">
        <f>myfn_bosluklariVeIsaretleridDuzenle(myfn_bosluklariVeIsaretleridDuzenle(IF(B114&lt;&gt;0,CONCATENATE(E114,"=",A114,","),"")))</f>
        <v/>
      </c>
      <c r="L114" s="1"/>
    </row>
    <row r="115" spans="5:12" x14ac:dyDescent="0.25">
      <c r="E115" s="2" t="str">
        <f>myfn_buyuk_harfe_cevir(myfn_turkceToIngilizce(myfn_bosluklariVeIsaretleridDuzenle(D115)))</f>
        <v/>
      </c>
      <c r="F115" s="1"/>
      <c r="G115" s="1"/>
      <c r="H115" s="1"/>
      <c r="I115" s="1" t="str">
        <f t="shared" si="7"/>
        <v/>
      </c>
      <c r="J115" s="1" t="str">
        <f t="shared" si="6"/>
        <v/>
      </c>
      <c r="K115" s="1" t="str">
        <f>myfn_bosluklariVeIsaretleridDuzenle(myfn_bosluklariVeIsaretleridDuzenle(IF(B115&lt;&gt;0,CONCATENATE(E115,"=",A115,","),"")))</f>
        <v/>
      </c>
      <c r="L115" s="1"/>
    </row>
    <row r="116" spans="5:12" x14ac:dyDescent="0.25">
      <c r="E116" s="2" t="str">
        <f>myfn_buyuk_harfe_cevir(myfn_turkceToIngilizce(myfn_bosluklariVeIsaretleridDuzenle(D116)))</f>
        <v/>
      </c>
      <c r="F116" s="1"/>
      <c r="G116" s="1"/>
      <c r="H116" s="1"/>
      <c r="I116" s="1" t="str">
        <f t="shared" si="7"/>
        <v/>
      </c>
      <c r="J116" s="1" t="str">
        <f t="shared" si="6"/>
        <v/>
      </c>
      <c r="K116" s="1" t="str">
        <f>myfn_bosluklariVeIsaretleridDuzenle(myfn_bosluklariVeIsaretleridDuzenle(IF(B116&lt;&gt;0,CONCATENATE(E116,"=",A116,","),"")))</f>
        <v/>
      </c>
      <c r="L116" s="1"/>
    </row>
    <row r="117" spans="5:12" x14ac:dyDescent="0.25">
      <c r="E117" s="2" t="str">
        <f>myfn_buyuk_harfe_cevir(myfn_turkceToIngilizce(myfn_bosluklariVeIsaretleridDuzenle(D117)))</f>
        <v/>
      </c>
      <c r="F117" s="1"/>
      <c r="G117" s="1"/>
      <c r="H117" s="1"/>
      <c r="I117" s="1" t="str">
        <f t="shared" si="7"/>
        <v/>
      </c>
      <c r="J117" s="1" t="str">
        <f t="shared" si="6"/>
        <v/>
      </c>
      <c r="K117" s="1" t="str">
        <f>myfn_bosluklariVeIsaretleridDuzenle(myfn_bosluklariVeIsaretleridDuzenle(IF(B117&lt;&gt;0,CONCATENATE(E117,"=",A117,","),"")))</f>
        <v/>
      </c>
      <c r="L117" s="1"/>
    </row>
    <row r="118" spans="5:12" x14ac:dyDescent="0.25">
      <c r="E118" s="2" t="str">
        <f>myfn_buyuk_harfe_cevir(myfn_turkceToIngilizce(myfn_bosluklariVeIsaretleridDuzenle(D118)))</f>
        <v/>
      </c>
      <c r="F118" s="1"/>
      <c r="G118" s="1"/>
      <c r="H118" s="1"/>
      <c r="I118" s="1" t="str">
        <f t="shared" si="7"/>
        <v/>
      </c>
      <c r="J118" s="1" t="str">
        <f t="shared" si="6"/>
        <v/>
      </c>
      <c r="K118" s="1" t="str">
        <f>myfn_bosluklariVeIsaretleridDuzenle(myfn_bosluklariVeIsaretleridDuzenle(IF(B118&lt;&gt;0,CONCATENATE(E118,"=",A118,","),"")))</f>
        <v/>
      </c>
      <c r="L118" s="1"/>
    </row>
    <row r="119" spans="5:12" x14ac:dyDescent="0.25">
      <c r="E119" s="2" t="str">
        <f>myfn_buyuk_harfe_cevir(myfn_turkceToIngilizce(myfn_bosluklariVeIsaretleridDuzenle(D119)))</f>
        <v/>
      </c>
      <c r="F119" s="1"/>
      <c r="G119" s="1"/>
      <c r="H119" s="1"/>
      <c r="I119" s="1" t="str">
        <f t="shared" si="7"/>
        <v/>
      </c>
      <c r="J119" s="1" t="str">
        <f t="shared" si="6"/>
        <v/>
      </c>
      <c r="K119" s="1" t="str">
        <f>myfn_bosluklariVeIsaretleridDuzenle(myfn_bosluklariVeIsaretleridDuzenle(IF(B119&lt;&gt;0,CONCATENATE(E119,"=",A119,","),"")))</f>
        <v/>
      </c>
      <c r="L119" s="1"/>
    </row>
    <row r="120" spans="5:12" x14ac:dyDescent="0.25">
      <c r="E120" s="2" t="str">
        <f>myfn_buyuk_harfe_cevir(myfn_turkceToIngilizce(myfn_bosluklariVeIsaretleridDuzenle(D120)))</f>
        <v/>
      </c>
      <c r="F120" s="1"/>
      <c r="G120" s="1"/>
      <c r="H120" s="1"/>
      <c r="I120" s="1" t="str">
        <f t="shared" si="7"/>
        <v/>
      </c>
      <c r="J120" s="1" t="str">
        <f t="shared" si="6"/>
        <v/>
      </c>
      <c r="K120" s="1" t="str">
        <f>myfn_bosluklariVeIsaretleridDuzenle(myfn_bosluklariVeIsaretleridDuzenle(IF(B120&lt;&gt;0,CONCATENATE(E120,"=",A120,","),"")))</f>
        <v/>
      </c>
      <c r="L120" s="1"/>
    </row>
    <row r="121" spans="5:12" x14ac:dyDescent="0.25">
      <c r="E121" s="2" t="str">
        <f>myfn_buyuk_harfe_cevir(myfn_turkceToIngilizce(myfn_bosluklariVeIsaretleridDuzenle(D121)))</f>
        <v/>
      </c>
      <c r="F121" s="1"/>
      <c r="G121" s="1"/>
      <c r="H121" s="1"/>
      <c r="I121" s="1" t="str">
        <f t="shared" si="7"/>
        <v/>
      </c>
      <c r="J121" s="1" t="str">
        <f t="shared" si="6"/>
        <v/>
      </c>
      <c r="K121" s="1" t="str">
        <f>myfn_bosluklariVeIsaretleridDuzenle(myfn_bosluklariVeIsaretleridDuzenle(IF(B121&lt;&gt;0,CONCATENATE(E121,"=",A121,","),"")))</f>
        <v/>
      </c>
      <c r="L121" s="1"/>
    </row>
    <row r="122" spans="5:12" x14ac:dyDescent="0.25">
      <c r="E122" s="2" t="str">
        <f>myfn_buyuk_harfe_cevir(myfn_turkceToIngilizce(myfn_bosluklariVeIsaretleridDuzenle(D122)))</f>
        <v/>
      </c>
      <c r="F122" s="1"/>
      <c r="G122" s="1"/>
      <c r="H122" s="1"/>
      <c r="I122" s="1" t="str">
        <f t="shared" si="7"/>
        <v/>
      </c>
      <c r="J122" s="1" t="str">
        <f t="shared" si="6"/>
        <v/>
      </c>
      <c r="K122" s="1" t="str">
        <f>myfn_bosluklariVeIsaretleridDuzenle(myfn_bosluklariVeIsaretleridDuzenle(IF(B122&lt;&gt;0,CONCATENATE(E122,"=",A122,","),"")))</f>
        <v/>
      </c>
      <c r="L122" s="1"/>
    </row>
    <row r="123" spans="5:12" x14ac:dyDescent="0.25">
      <c r="E123" s="2" t="str">
        <f>myfn_buyuk_harfe_cevir(myfn_turkceToIngilizce(myfn_bosluklariVeIsaretleridDuzenle(D123)))</f>
        <v/>
      </c>
      <c r="F123" s="1"/>
      <c r="G123" s="1"/>
      <c r="H123" s="1"/>
      <c r="I123" s="1" t="str">
        <f t="shared" si="7"/>
        <v/>
      </c>
      <c r="J123" s="1" t="str">
        <f t="shared" si="6"/>
        <v/>
      </c>
      <c r="K123" s="1" t="str">
        <f>myfn_bosluklariVeIsaretleridDuzenle(myfn_bosluklariVeIsaretleridDuzenle(IF(B123&lt;&gt;0,CONCATENATE(E123,"=",A123,","),"")))</f>
        <v/>
      </c>
      <c r="L123" s="1"/>
    </row>
    <row r="124" spans="5:12" x14ac:dyDescent="0.25">
      <c r="E124" s="2" t="str">
        <f>myfn_buyuk_harfe_cevir(myfn_turkceToIngilizce(myfn_bosluklariVeIsaretleridDuzenle(D124)))</f>
        <v/>
      </c>
      <c r="F124" s="1"/>
      <c r="G124" s="1"/>
      <c r="H124" s="1"/>
      <c r="I124" s="1" t="str">
        <f t="shared" si="7"/>
        <v/>
      </c>
      <c r="J124" s="1" t="str">
        <f t="shared" si="6"/>
        <v/>
      </c>
      <c r="K124" s="1" t="str">
        <f>myfn_bosluklariVeIsaretleridDuzenle(myfn_bosluklariVeIsaretleridDuzenle(IF(B124&lt;&gt;0,CONCATENATE(E124,"=",A124,","),"")))</f>
        <v/>
      </c>
      <c r="L124" s="1"/>
    </row>
    <row r="125" spans="5:12" x14ac:dyDescent="0.25">
      <c r="E125" s="2" t="str">
        <f>myfn_buyuk_harfe_cevir(myfn_turkceToIngilizce(myfn_bosluklariVeIsaretleridDuzenle(D125)))</f>
        <v/>
      </c>
      <c r="F125" s="1"/>
      <c r="G125" s="1"/>
      <c r="H125" s="1"/>
      <c r="I125" s="1" t="str">
        <f t="shared" si="7"/>
        <v/>
      </c>
      <c r="J125" s="1" t="str">
        <f t="shared" si="6"/>
        <v/>
      </c>
      <c r="K125" s="1" t="str">
        <f>myfn_bosluklariVeIsaretleridDuzenle(myfn_bosluklariVeIsaretleridDuzenle(IF(B125&lt;&gt;0,CONCATENATE(E125,"=",A125,","),"")))</f>
        <v/>
      </c>
      <c r="L125" s="1"/>
    </row>
    <row r="126" spans="5:12" x14ac:dyDescent="0.25">
      <c r="E126" s="2" t="str">
        <f>myfn_buyuk_harfe_cevir(myfn_turkceToIngilizce(myfn_bosluklariVeIsaretleridDuzenle(D126)))</f>
        <v/>
      </c>
      <c r="F126" s="1"/>
      <c r="G126" s="1"/>
      <c r="H126" s="1"/>
      <c r="I126" s="1" t="str">
        <f t="shared" si="7"/>
        <v/>
      </c>
      <c r="J126" s="1" t="str">
        <f t="shared" si="6"/>
        <v/>
      </c>
      <c r="K126" s="1" t="str">
        <f>myfn_bosluklariVeIsaretleridDuzenle(myfn_bosluklariVeIsaretleridDuzenle(IF(B126&lt;&gt;0,CONCATENATE(E126,"=",A126,","),"")))</f>
        <v/>
      </c>
      <c r="L126" s="1"/>
    </row>
    <row r="127" spans="5:12" x14ac:dyDescent="0.25">
      <c r="E127" s="2" t="str">
        <f>myfn_buyuk_harfe_cevir(myfn_turkceToIngilizce(myfn_bosluklariVeIsaretleridDuzenle(D127)))</f>
        <v/>
      </c>
      <c r="F127" s="1"/>
      <c r="G127" s="1"/>
      <c r="H127" s="1"/>
      <c r="I127" s="1" t="str">
        <f t="shared" si="7"/>
        <v/>
      </c>
      <c r="J127" s="1" t="str">
        <f t="shared" si="6"/>
        <v/>
      </c>
      <c r="K127" s="1" t="str">
        <f>myfn_bosluklariVeIsaretleridDuzenle(myfn_bosluklariVeIsaretleridDuzenle(IF(B127&lt;&gt;0,CONCATENATE(E127,"=",A127,","),"")))</f>
        <v/>
      </c>
      <c r="L127" s="1"/>
    </row>
    <row r="128" spans="5:12" x14ac:dyDescent="0.25">
      <c r="E128" s="2" t="str">
        <f>myfn_buyuk_harfe_cevir(myfn_turkceToIngilizce(myfn_bosluklariVeIsaretleridDuzenle(D128)))</f>
        <v/>
      </c>
      <c r="F128" s="1"/>
      <c r="G128" s="1"/>
      <c r="H128" s="1"/>
      <c r="I128" s="1" t="str">
        <f t="shared" si="7"/>
        <v/>
      </c>
      <c r="J128" s="1" t="str">
        <f t="shared" si="6"/>
        <v/>
      </c>
      <c r="K128" s="1" t="str">
        <f>myfn_bosluklariVeIsaretleridDuzenle(myfn_bosluklariVeIsaretleridDuzenle(IF(B128&lt;&gt;0,CONCATENATE(E128,"=",A128,","),"")))</f>
        <v/>
      </c>
      <c r="L128" s="1"/>
    </row>
    <row r="129" spans="5:12" x14ac:dyDescent="0.25">
      <c r="E129" s="2" t="str">
        <f>myfn_buyuk_harfe_cevir(myfn_turkceToIngilizce(myfn_bosluklariVeIsaretleridDuzenle(D129)))</f>
        <v/>
      </c>
      <c r="F129" s="1"/>
      <c r="G129" s="1"/>
      <c r="H129" s="1"/>
      <c r="I129" s="1" t="str">
        <f t="shared" si="7"/>
        <v/>
      </c>
      <c r="J129" s="1" t="str">
        <f t="shared" si="6"/>
        <v/>
      </c>
      <c r="K129" s="1" t="str">
        <f>myfn_bosluklariVeIsaretleridDuzenle(myfn_bosluklariVeIsaretleridDuzenle(IF(B129&lt;&gt;0,CONCATENATE(E129,"=",A129,","),"")))</f>
        <v/>
      </c>
      <c r="L129" s="1"/>
    </row>
    <row r="130" spans="5:12" x14ac:dyDescent="0.25">
      <c r="E130" s="2" t="str">
        <f>myfn_buyuk_harfe_cevir(myfn_turkceToIngilizce(myfn_bosluklariVeIsaretleridDuzenle(D130)))</f>
        <v/>
      </c>
      <c r="F130" s="1"/>
      <c r="G130" s="1"/>
      <c r="H130" s="1"/>
      <c r="I130" s="1" t="str">
        <f t="shared" si="7"/>
        <v/>
      </c>
      <c r="J130" s="1" t="str">
        <f t="shared" si="6"/>
        <v/>
      </c>
      <c r="K130" s="1" t="str">
        <f>myfn_bosluklariVeIsaretleridDuzenle(myfn_bosluklariVeIsaretleridDuzenle(IF(B130&lt;&gt;0,CONCATENATE(E130,"=",A130,","),"")))</f>
        <v/>
      </c>
      <c r="L130" s="1"/>
    </row>
    <row r="131" spans="5:12" x14ac:dyDescent="0.25">
      <c r="E131" s="2" t="str">
        <f>myfn_buyuk_harfe_cevir(myfn_turkceToIngilizce(myfn_bosluklariVeIsaretleridDuzenle(D131)))</f>
        <v/>
      </c>
      <c r="F131" s="1"/>
      <c r="G131" s="1"/>
      <c r="H131" s="1"/>
      <c r="I131" s="1" t="str">
        <f t="shared" si="7"/>
        <v/>
      </c>
      <c r="J131" s="1" t="str">
        <f t="shared" si="6"/>
        <v/>
      </c>
      <c r="K131" s="1" t="str">
        <f>myfn_bosluklariVeIsaretleridDuzenle(myfn_bosluklariVeIsaretleridDuzenle(IF(B131&lt;&gt;0,CONCATENATE(E131,"=",A131,","),"")))</f>
        <v/>
      </c>
      <c r="L131" s="1"/>
    </row>
    <row r="132" spans="5:12" x14ac:dyDescent="0.25">
      <c r="E132" s="2" t="str">
        <f>myfn_buyuk_harfe_cevir(myfn_turkceToIngilizce(myfn_bosluklariVeIsaretleridDuzenle(D132)))</f>
        <v/>
      </c>
      <c r="F132" s="1"/>
      <c r="G132" s="1"/>
      <c r="H132" s="1"/>
      <c r="I132" s="1" t="str">
        <f t="shared" si="7"/>
        <v/>
      </c>
      <c r="J132" s="1" t="str">
        <f t="shared" si="6"/>
        <v/>
      </c>
      <c r="K132" s="1" t="str">
        <f>myfn_bosluklariVeIsaretleridDuzenle(myfn_bosluklariVeIsaretleridDuzenle(IF(B132&lt;&gt;0,CONCATENATE(E132,"=",A132,","),"")))</f>
        <v/>
      </c>
      <c r="L132" s="1"/>
    </row>
    <row r="133" spans="5:12" x14ac:dyDescent="0.25">
      <c r="E133" s="2" t="str">
        <f>myfn_buyuk_harfe_cevir(myfn_turkceToIngilizce(myfn_bosluklariVeIsaretleridDuzenle(D133)))</f>
        <v/>
      </c>
      <c r="F133" s="1"/>
      <c r="G133" s="1"/>
      <c r="H133" s="1"/>
      <c r="I133" s="1" t="str">
        <f t="shared" si="7"/>
        <v/>
      </c>
      <c r="J133" s="1" t="str">
        <f t="shared" si="6"/>
        <v/>
      </c>
      <c r="K133" s="1" t="str">
        <f>myfn_bosluklariVeIsaretleridDuzenle(myfn_bosluklariVeIsaretleridDuzenle(IF(B133&lt;&gt;0,CONCATENATE(E133,"=",A133,","),"")))</f>
        <v/>
      </c>
      <c r="L133" s="1"/>
    </row>
    <row r="134" spans="5:12" x14ac:dyDescent="0.25">
      <c r="E134" s="2" t="str">
        <f>myfn_buyuk_harfe_cevir(myfn_turkceToIngilizce(myfn_bosluklariVeIsaretleridDuzenle(D134)))</f>
        <v/>
      </c>
      <c r="F134" s="1"/>
      <c r="G134" s="1"/>
      <c r="H134" s="1"/>
      <c r="I134" s="1" t="str">
        <f t="shared" si="7"/>
        <v/>
      </c>
      <c r="J134" s="1" t="str">
        <f t="shared" si="6"/>
        <v/>
      </c>
      <c r="K134" s="1" t="str">
        <f>myfn_bosluklariVeIsaretleridDuzenle(myfn_bosluklariVeIsaretleridDuzenle(IF(B134&lt;&gt;0,CONCATENATE(E134,"=",A134,","),"")))</f>
        <v/>
      </c>
      <c r="L134" s="1"/>
    </row>
    <row r="135" spans="5:12" x14ac:dyDescent="0.25">
      <c r="E135" s="2" t="str">
        <f>myfn_buyuk_harfe_cevir(myfn_turkceToIngilizce(myfn_bosluklariVeIsaretleridDuzenle(D135)))</f>
        <v/>
      </c>
      <c r="F135" s="1"/>
      <c r="G135" s="1"/>
      <c r="H135" s="1"/>
      <c r="I135" s="1" t="str">
        <f t="shared" si="7"/>
        <v/>
      </c>
      <c r="J135" s="1" t="str">
        <f t="shared" ref="J135:J182" si="8">IF(AND(B135&lt;&gt;"",B135=0),CONCATENATE(" public enum ",E135,"{","
        }"),"")</f>
        <v/>
      </c>
      <c r="K135" s="1" t="str">
        <f>myfn_bosluklariVeIsaretleridDuzenle(myfn_bosluklariVeIsaretleridDuzenle(IF(B135&lt;&gt;0,CONCATENATE(E135,"=",A135,","),"")))</f>
        <v/>
      </c>
      <c r="L135" s="1"/>
    </row>
    <row r="136" spans="5:12" x14ac:dyDescent="0.25">
      <c r="E136" s="2" t="str">
        <f>myfn_buyuk_harfe_cevir(myfn_turkceToIngilizce(myfn_bosluklariVeIsaretleridDuzenle(D136)))</f>
        <v/>
      </c>
      <c r="F136" s="1"/>
      <c r="G136" s="1"/>
      <c r="H136" s="1"/>
      <c r="I136" s="1" t="str">
        <f t="shared" si="7"/>
        <v/>
      </c>
      <c r="J136" s="1" t="str">
        <f t="shared" si="8"/>
        <v/>
      </c>
      <c r="K136" s="1" t="str">
        <f>myfn_bosluklariVeIsaretleridDuzenle(myfn_bosluklariVeIsaretleridDuzenle(IF(B136&lt;&gt;0,CONCATENATE(E136,"=",A136,","),"")))</f>
        <v/>
      </c>
      <c r="L136" s="1"/>
    </row>
    <row r="137" spans="5:12" x14ac:dyDescent="0.25">
      <c r="E137" s="2" t="str">
        <f>myfn_buyuk_harfe_cevir(myfn_turkceToIngilizce(myfn_bosluklariVeIsaretleridDuzenle(D137)))</f>
        <v/>
      </c>
      <c r="F137" s="1"/>
      <c r="G137" s="1"/>
      <c r="H137" s="1"/>
      <c r="I137" s="1" t="str">
        <f t="shared" si="7"/>
        <v/>
      </c>
      <c r="J137" s="1" t="str">
        <f t="shared" si="8"/>
        <v/>
      </c>
      <c r="K137" s="1" t="str">
        <f>myfn_bosluklariVeIsaretleridDuzenle(myfn_bosluklariVeIsaretleridDuzenle(IF(B137&lt;&gt;0,CONCATENATE(E137,"=",A137,","),"")))</f>
        <v/>
      </c>
      <c r="L137" s="1"/>
    </row>
    <row r="138" spans="5:12" x14ac:dyDescent="0.25">
      <c r="E138" s="2" t="str">
        <f>myfn_buyuk_harfe_cevir(myfn_turkceToIngilizce(myfn_bosluklariVeIsaretleridDuzenle(D138)))</f>
        <v/>
      </c>
      <c r="F138" s="1"/>
      <c r="G138" s="1"/>
      <c r="H138" s="1"/>
      <c r="I138" s="1" t="str">
        <f t="shared" si="7"/>
        <v/>
      </c>
      <c r="J138" s="1" t="str">
        <f t="shared" si="8"/>
        <v/>
      </c>
      <c r="K138" s="1" t="str">
        <f>myfn_bosluklariVeIsaretleridDuzenle(myfn_bosluklariVeIsaretleridDuzenle(IF(B138&lt;&gt;0,CONCATENATE(E138,"=",A138,","),"")))</f>
        <v/>
      </c>
      <c r="L138" s="1"/>
    </row>
    <row r="139" spans="5:12" x14ac:dyDescent="0.25">
      <c r="E139" s="2" t="str">
        <f>myfn_buyuk_harfe_cevir(myfn_turkceToIngilizce(myfn_bosluklariVeIsaretleridDuzenle(D139)))</f>
        <v/>
      </c>
      <c r="F139" s="1"/>
      <c r="G139" s="1"/>
      <c r="H139" s="1"/>
      <c r="I139" s="1" t="str">
        <f t="shared" si="7"/>
        <v/>
      </c>
      <c r="J139" s="1" t="str">
        <f t="shared" si="8"/>
        <v/>
      </c>
      <c r="K139" s="1" t="str">
        <f>myfn_bosluklariVeIsaretleridDuzenle(myfn_bosluklariVeIsaretleridDuzenle(IF(B139&lt;&gt;0,CONCATENATE(E139,"=",A139,","),"")))</f>
        <v/>
      </c>
      <c r="L139" s="1"/>
    </row>
    <row r="140" spans="5:12" x14ac:dyDescent="0.25">
      <c r="E140" s="2" t="str">
        <f>myfn_buyuk_harfe_cevir(myfn_turkceToIngilizce(myfn_bosluklariVeIsaretleridDuzenle(D140)))</f>
        <v/>
      </c>
      <c r="F140" s="1"/>
      <c r="G140" s="1"/>
      <c r="H140" s="1"/>
      <c r="I140" s="1" t="str">
        <f t="shared" si="7"/>
        <v/>
      </c>
      <c r="J140" s="1" t="str">
        <f t="shared" si="8"/>
        <v/>
      </c>
      <c r="K140" s="1" t="str">
        <f>myfn_bosluklariVeIsaretleridDuzenle(myfn_bosluklariVeIsaretleridDuzenle(IF(B140&lt;&gt;0,CONCATENATE(E140,"=",A140,","),"")))</f>
        <v/>
      </c>
      <c r="L140" s="1"/>
    </row>
    <row r="141" spans="5:12" x14ac:dyDescent="0.25">
      <c r="E141" s="2" t="str">
        <f>myfn_buyuk_harfe_cevir(myfn_turkceToIngilizce(myfn_bosluklariVeIsaretleridDuzenle(D141)))</f>
        <v/>
      </c>
      <c r="F141" s="1"/>
      <c r="G141" s="1"/>
      <c r="H141" s="1"/>
      <c r="I141" s="1" t="str">
        <f t="shared" si="7"/>
        <v/>
      </c>
      <c r="J141" s="1" t="str">
        <f t="shared" si="8"/>
        <v/>
      </c>
      <c r="K141" s="1" t="str">
        <f>myfn_bosluklariVeIsaretleridDuzenle(myfn_bosluklariVeIsaretleridDuzenle(IF(B141&lt;&gt;0,CONCATENATE(E141,"=",A141,","),"")))</f>
        <v/>
      </c>
      <c r="L141" s="1"/>
    </row>
    <row r="142" spans="5:12" x14ac:dyDescent="0.25">
      <c r="E142" s="2" t="str">
        <f>myfn_buyuk_harfe_cevir(myfn_turkceToIngilizce(myfn_bosluklariVeIsaretleridDuzenle(D142)))</f>
        <v/>
      </c>
      <c r="F142" s="1"/>
      <c r="G142" s="1"/>
      <c r="H142" s="1"/>
      <c r="I142" s="1" t="str">
        <f t="shared" si="7"/>
        <v/>
      </c>
      <c r="J142" s="1" t="str">
        <f t="shared" si="8"/>
        <v/>
      </c>
      <c r="K142" s="1" t="str">
        <f>myfn_bosluklariVeIsaretleridDuzenle(myfn_bosluklariVeIsaretleridDuzenle(IF(B142&lt;&gt;0,CONCATENATE(E142,"=",A142,","),"")))</f>
        <v/>
      </c>
      <c r="L142" s="1"/>
    </row>
    <row r="143" spans="5:12" x14ac:dyDescent="0.25">
      <c r="E143" s="2" t="str">
        <f>myfn_buyuk_harfe_cevir(myfn_turkceToIngilizce(myfn_bosluklariVeIsaretleridDuzenle(D143)))</f>
        <v/>
      </c>
      <c r="F143" s="1"/>
      <c r="G143" s="1"/>
      <c r="H143" s="1"/>
      <c r="I143" s="1" t="str">
        <f t="shared" ref="I143:I206" si="9">IF(AND(B143&lt;&gt;""),CONCATENATE("INSERT INTO t_kod (ID,TIP_ID,SIRA,KOD,KISA_AD,DIGER_UYG_ENUM_AD,DIGER_UYG_ID)VALUES(",A143,",",B143,",",C143,,",","'",D143,"'",",","'",F143,"'",",",IF(_xlfn.IFNA(G143,0)&gt;0,CONCATENATE("'",G143,"'"),"null"),",",IF(_xlfn.IFNA(G143,0)&gt;0,CONCATENATE("'",H143,"'"),"null"),");"),"")</f>
        <v/>
      </c>
      <c r="J143" s="1" t="str">
        <f t="shared" si="8"/>
        <v/>
      </c>
      <c r="K143" s="1" t="str">
        <f>myfn_bosluklariVeIsaretleridDuzenle(myfn_bosluklariVeIsaretleridDuzenle(IF(B143&lt;&gt;0,CONCATENATE(E143,"=",A143,","),"")))</f>
        <v/>
      </c>
      <c r="L143" s="1"/>
    </row>
    <row r="144" spans="5:12" x14ac:dyDescent="0.25">
      <c r="E144" s="2" t="str">
        <f>myfn_buyuk_harfe_cevir(myfn_turkceToIngilizce(myfn_bosluklariVeIsaretleridDuzenle(D144)))</f>
        <v/>
      </c>
      <c r="F144" s="1"/>
      <c r="G144" s="1"/>
      <c r="H144" s="1"/>
      <c r="I144" s="1" t="str">
        <f t="shared" si="9"/>
        <v/>
      </c>
      <c r="J144" s="1" t="str">
        <f t="shared" si="8"/>
        <v/>
      </c>
      <c r="K144" s="1" t="str">
        <f>myfn_bosluklariVeIsaretleridDuzenle(myfn_bosluklariVeIsaretleridDuzenle(IF(B144&lt;&gt;0,CONCATENATE(E144,"=",A144,","),"")))</f>
        <v/>
      </c>
      <c r="L144" s="1"/>
    </row>
    <row r="145" spans="5:12" x14ac:dyDescent="0.25">
      <c r="E145" s="2" t="str">
        <f>myfn_buyuk_harfe_cevir(myfn_turkceToIngilizce(myfn_bosluklariVeIsaretleridDuzenle(D145)))</f>
        <v/>
      </c>
      <c r="F145" s="1"/>
      <c r="G145" s="1"/>
      <c r="H145" s="1"/>
      <c r="I145" s="1" t="str">
        <f t="shared" si="9"/>
        <v/>
      </c>
      <c r="J145" s="1" t="str">
        <f t="shared" si="8"/>
        <v/>
      </c>
      <c r="K145" s="1" t="str">
        <f>myfn_bosluklariVeIsaretleridDuzenle(myfn_bosluklariVeIsaretleridDuzenle(IF(B145&lt;&gt;0,CONCATENATE(E145,"=",A145,","),"")))</f>
        <v/>
      </c>
      <c r="L145" s="1"/>
    </row>
    <row r="146" spans="5:12" x14ac:dyDescent="0.25">
      <c r="E146" s="2" t="str">
        <f>myfn_buyuk_harfe_cevir(myfn_turkceToIngilizce(myfn_bosluklariVeIsaretleridDuzenle(D146)))</f>
        <v/>
      </c>
      <c r="F146" s="1"/>
      <c r="G146" s="1"/>
      <c r="H146" s="1"/>
      <c r="I146" s="1" t="str">
        <f t="shared" si="9"/>
        <v/>
      </c>
      <c r="J146" s="1" t="str">
        <f t="shared" si="8"/>
        <v/>
      </c>
      <c r="K146" s="1" t="str">
        <f>myfn_bosluklariVeIsaretleridDuzenle(myfn_bosluklariVeIsaretleridDuzenle(IF(B146&lt;&gt;0,CONCATENATE(E146,"=",A146,","),"")))</f>
        <v/>
      </c>
      <c r="L146" s="1"/>
    </row>
    <row r="147" spans="5:12" x14ac:dyDescent="0.25">
      <c r="E147" s="2" t="str">
        <f>myfn_buyuk_harfe_cevir(myfn_turkceToIngilizce(myfn_bosluklariVeIsaretleridDuzenle(D147)))</f>
        <v/>
      </c>
      <c r="F147" s="1"/>
      <c r="G147" s="1"/>
      <c r="H147" s="1"/>
      <c r="I147" s="1" t="str">
        <f t="shared" si="9"/>
        <v/>
      </c>
      <c r="J147" s="1" t="str">
        <f t="shared" si="8"/>
        <v/>
      </c>
      <c r="K147" s="1" t="str">
        <f>myfn_bosluklariVeIsaretleridDuzenle(myfn_bosluklariVeIsaretleridDuzenle(IF(B147&lt;&gt;0,CONCATENATE(E147,"=",A147,","),"")))</f>
        <v/>
      </c>
      <c r="L147" s="1"/>
    </row>
    <row r="148" spans="5:12" x14ac:dyDescent="0.25">
      <c r="E148" s="2" t="str">
        <f>myfn_buyuk_harfe_cevir(myfn_turkceToIngilizce(myfn_bosluklariVeIsaretleridDuzenle(D148)))</f>
        <v/>
      </c>
      <c r="F148" s="1"/>
      <c r="G148" s="1"/>
      <c r="H148" s="1"/>
      <c r="I148" s="1" t="str">
        <f t="shared" si="9"/>
        <v/>
      </c>
      <c r="J148" s="1" t="str">
        <f t="shared" si="8"/>
        <v/>
      </c>
      <c r="K148" s="1" t="str">
        <f>myfn_bosluklariVeIsaretleridDuzenle(myfn_bosluklariVeIsaretleridDuzenle(IF(B148&lt;&gt;0,CONCATENATE(E148,"=",A148,","),"")))</f>
        <v/>
      </c>
      <c r="L148" s="1"/>
    </row>
    <row r="149" spans="5:12" x14ac:dyDescent="0.25">
      <c r="E149" s="2" t="str">
        <f>myfn_buyuk_harfe_cevir(myfn_turkceToIngilizce(myfn_bosluklariVeIsaretleridDuzenle(D149)))</f>
        <v/>
      </c>
      <c r="F149" s="1"/>
      <c r="G149" s="1"/>
      <c r="H149" s="1"/>
      <c r="I149" s="1" t="str">
        <f t="shared" si="9"/>
        <v/>
      </c>
      <c r="J149" s="1" t="str">
        <f t="shared" si="8"/>
        <v/>
      </c>
      <c r="K149" s="1" t="str">
        <f>myfn_bosluklariVeIsaretleridDuzenle(myfn_bosluklariVeIsaretleridDuzenle(IF(B149&lt;&gt;0,CONCATENATE(E149,"=",A149,","),"")))</f>
        <v/>
      </c>
      <c r="L149" s="1"/>
    </row>
    <row r="150" spans="5:12" x14ac:dyDescent="0.25">
      <c r="E150" s="2" t="str">
        <f>myfn_buyuk_harfe_cevir(myfn_turkceToIngilizce(myfn_bosluklariVeIsaretleridDuzenle(D150)))</f>
        <v/>
      </c>
      <c r="F150" s="1"/>
      <c r="G150" s="1"/>
      <c r="H150" s="1"/>
      <c r="I150" s="1" t="str">
        <f t="shared" si="9"/>
        <v/>
      </c>
      <c r="J150" s="1" t="str">
        <f t="shared" si="8"/>
        <v/>
      </c>
      <c r="K150" s="1" t="str">
        <f>myfn_bosluklariVeIsaretleridDuzenle(myfn_bosluklariVeIsaretleridDuzenle(IF(B150&lt;&gt;0,CONCATENATE(E150,"=",A150,","),"")))</f>
        <v/>
      </c>
      <c r="L150" s="1"/>
    </row>
    <row r="151" spans="5:12" x14ac:dyDescent="0.25">
      <c r="E151" s="2" t="str">
        <f>myfn_buyuk_harfe_cevir(myfn_turkceToIngilizce(myfn_bosluklariVeIsaretleridDuzenle(D151)))</f>
        <v/>
      </c>
      <c r="F151" s="1"/>
      <c r="G151" s="1"/>
      <c r="H151" s="1"/>
      <c r="I151" s="1" t="str">
        <f t="shared" si="9"/>
        <v/>
      </c>
      <c r="J151" s="1" t="str">
        <f t="shared" si="8"/>
        <v/>
      </c>
      <c r="K151" s="1" t="str">
        <f>myfn_bosluklariVeIsaretleridDuzenle(myfn_bosluklariVeIsaretleridDuzenle(IF(B151&lt;&gt;0,CONCATENATE(E151,"=",A151,","),"")))</f>
        <v/>
      </c>
      <c r="L151" s="1"/>
    </row>
    <row r="152" spans="5:12" x14ac:dyDescent="0.25">
      <c r="E152" s="2" t="str">
        <f>myfn_buyuk_harfe_cevir(myfn_turkceToIngilizce(myfn_bosluklariVeIsaretleridDuzenle(D152)))</f>
        <v/>
      </c>
      <c r="F152" s="1"/>
      <c r="G152" s="1"/>
      <c r="H152" s="1"/>
      <c r="I152" s="1" t="str">
        <f t="shared" si="9"/>
        <v/>
      </c>
      <c r="J152" s="1" t="str">
        <f t="shared" si="8"/>
        <v/>
      </c>
      <c r="K152" s="1" t="str">
        <f>myfn_bosluklariVeIsaretleridDuzenle(myfn_bosluklariVeIsaretleridDuzenle(IF(B152&lt;&gt;0,CONCATENATE(E152,"=",A152,","),"")))</f>
        <v/>
      </c>
      <c r="L152" s="1"/>
    </row>
    <row r="153" spans="5:12" x14ac:dyDescent="0.25">
      <c r="E153" s="2" t="str">
        <f>myfn_buyuk_harfe_cevir(myfn_turkceToIngilizce(myfn_bosluklariVeIsaretleridDuzenle(D153)))</f>
        <v/>
      </c>
      <c r="F153" s="1"/>
      <c r="G153" s="1"/>
      <c r="H153" s="1"/>
      <c r="I153" s="1" t="str">
        <f t="shared" si="9"/>
        <v/>
      </c>
      <c r="J153" s="1" t="str">
        <f t="shared" si="8"/>
        <v/>
      </c>
      <c r="K153" s="1" t="str">
        <f>myfn_bosluklariVeIsaretleridDuzenle(myfn_bosluklariVeIsaretleridDuzenle(IF(B153&lt;&gt;0,CONCATENATE(E153,"=",A153,","),"")))</f>
        <v/>
      </c>
      <c r="L153" s="1"/>
    </row>
    <row r="154" spans="5:12" x14ac:dyDescent="0.25">
      <c r="E154" s="2" t="str">
        <f>myfn_buyuk_harfe_cevir(myfn_turkceToIngilizce(myfn_bosluklariVeIsaretleridDuzenle(D154)))</f>
        <v/>
      </c>
      <c r="F154" s="1"/>
      <c r="G154" s="1"/>
      <c r="H154" s="1"/>
      <c r="I154" s="1" t="str">
        <f t="shared" si="9"/>
        <v/>
      </c>
      <c r="J154" s="1" t="str">
        <f t="shared" si="8"/>
        <v/>
      </c>
      <c r="K154" s="1" t="str">
        <f>myfn_bosluklariVeIsaretleridDuzenle(myfn_bosluklariVeIsaretleridDuzenle(IF(B154&lt;&gt;0,CONCATENATE(E154,"=",A154,","),"")))</f>
        <v/>
      </c>
      <c r="L154" s="1"/>
    </row>
    <row r="155" spans="5:12" x14ac:dyDescent="0.25">
      <c r="E155" s="2" t="str">
        <f>myfn_buyuk_harfe_cevir(myfn_turkceToIngilizce(myfn_bosluklariVeIsaretleridDuzenle(D155)))</f>
        <v/>
      </c>
      <c r="F155" s="1"/>
      <c r="G155" s="1"/>
      <c r="H155" s="1"/>
      <c r="I155" s="1" t="str">
        <f t="shared" si="9"/>
        <v/>
      </c>
      <c r="J155" s="1" t="str">
        <f t="shared" si="8"/>
        <v/>
      </c>
      <c r="K155" s="1" t="str">
        <f>myfn_bosluklariVeIsaretleridDuzenle(myfn_bosluklariVeIsaretleridDuzenle(IF(B155&lt;&gt;0,CONCATENATE(E155,"=",A155,","),"")))</f>
        <v/>
      </c>
      <c r="L155" s="1"/>
    </row>
    <row r="156" spans="5:12" x14ac:dyDescent="0.25">
      <c r="E156" s="2" t="str">
        <f>myfn_buyuk_harfe_cevir(myfn_turkceToIngilizce(myfn_bosluklariVeIsaretleridDuzenle(D156)))</f>
        <v/>
      </c>
      <c r="F156" s="1"/>
      <c r="G156" s="1"/>
      <c r="H156" s="1"/>
      <c r="I156" s="1" t="str">
        <f t="shared" si="9"/>
        <v/>
      </c>
      <c r="J156" s="1" t="str">
        <f t="shared" si="8"/>
        <v/>
      </c>
      <c r="K156" s="1" t="str">
        <f>myfn_bosluklariVeIsaretleridDuzenle(myfn_bosluklariVeIsaretleridDuzenle(IF(B156&lt;&gt;0,CONCATENATE(E156,"=",A156,","),"")))</f>
        <v/>
      </c>
      <c r="L156" s="1"/>
    </row>
    <row r="157" spans="5:12" x14ac:dyDescent="0.25">
      <c r="E157" s="2" t="str">
        <f>myfn_buyuk_harfe_cevir(myfn_turkceToIngilizce(myfn_bosluklariVeIsaretleridDuzenle(D157)))</f>
        <v/>
      </c>
      <c r="F157" s="1"/>
      <c r="G157" s="1"/>
      <c r="H157" s="1"/>
      <c r="I157" s="1" t="str">
        <f t="shared" si="9"/>
        <v/>
      </c>
      <c r="J157" s="1" t="str">
        <f t="shared" si="8"/>
        <v/>
      </c>
      <c r="K157" s="1" t="str">
        <f>myfn_bosluklariVeIsaretleridDuzenle(myfn_bosluklariVeIsaretleridDuzenle(IF(B157&lt;&gt;0,CONCATENATE(E157,"=",A157,","),"")))</f>
        <v/>
      </c>
      <c r="L157" s="1"/>
    </row>
    <row r="158" spans="5:12" x14ac:dyDescent="0.25">
      <c r="E158" s="2" t="str">
        <f>myfn_buyuk_harfe_cevir(myfn_turkceToIngilizce(myfn_bosluklariVeIsaretleridDuzenle(D158)))</f>
        <v/>
      </c>
      <c r="F158" s="1"/>
      <c r="G158" s="1"/>
      <c r="H158" s="1"/>
      <c r="I158" s="1" t="str">
        <f t="shared" si="9"/>
        <v/>
      </c>
      <c r="J158" s="1" t="str">
        <f t="shared" si="8"/>
        <v/>
      </c>
      <c r="K158" s="1" t="str">
        <f>myfn_bosluklariVeIsaretleridDuzenle(myfn_bosluklariVeIsaretleridDuzenle(IF(B158&lt;&gt;0,CONCATENATE(E158,"=",A158,","),"")))</f>
        <v/>
      </c>
      <c r="L158" s="1"/>
    </row>
    <row r="159" spans="5:12" x14ac:dyDescent="0.25">
      <c r="E159" s="2" t="str">
        <f>myfn_buyuk_harfe_cevir(myfn_turkceToIngilizce(myfn_bosluklariVeIsaretleridDuzenle(D159)))</f>
        <v/>
      </c>
      <c r="F159" s="1"/>
      <c r="G159" s="1"/>
      <c r="H159" s="1"/>
      <c r="I159" s="1" t="str">
        <f t="shared" si="9"/>
        <v/>
      </c>
      <c r="J159" s="1" t="str">
        <f t="shared" si="8"/>
        <v/>
      </c>
      <c r="K159" s="1" t="str">
        <f>myfn_bosluklariVeIsaretleridDuzenle(myfn_bosluklariVeIsaretleridDuzenle(IF(B159&lt;&gt;0,CONCATENATE(E159,"=",A159,","),"")))</f>
        <v/>
      </c>
      <c r="L159" s="1"/>
    </row>
    <row r="160" spans="5:12" x14ac:dyDescent="0.25">
      <c r="E160" s="2" t="str">
        <f>myfn_buyuk_harfe_cevir(myfn_turkceToIngilizce(myfn_bosluklariVeIsaretleridDuzenle(D160)))</f>
        <v/>
      </c>
      <c r="F160" s="1"/>
      <c r="G160" s="1"/>
      <c r="H160" s="1"/>
      <c r="I160" s="1" t="str">
        <f t="shared" si="9"/>
        <v/>
      </c>
      <c r="J160" s="1" t="str">
        <f t="shared" si="8"/>
        <v/>
      </c>
      <c r="K160" s="1" t="str">
        <f>myfn_bosluklariVeIsaretleridDuzenle(myfn_bosluklariVeIsaretleridDuzenle(IF(B160&lt;&gt;0,CONCATENATE(E160,"=",A160,","),"")))</f>
        <v/>
      </c>
      <c r="L160" s="1"/>
    </row>
    <row r="161" spans="5:12" x14ac:dyDescent="0.25">
      <c r="E161" s="2" t="str">
        <f>myfn_buyuk_harfe_cevir(myfn_turkceToIngilizce(myfn_bosluklariVeIsaretleridDuzenle(D161)))</f>
        <v/>
      </c>
      <c r="F161" s="1"/>
      <c r="G161" s="1"/>
      <c r="H161" s="1"/>
      <c r="I161" s="1" t="str">
        <f t="shared" si="9"/>
        <v/>
      </c>
      <c r="J161" s="1" t="str">
        <f t="shared" si="8"/>
        <v/>
      </c>
      <c r="K161" s="1" t="str">
        <f>myfn_bosluklariVeIsaretleridDuzenle(myfn_bosluklariVeIsaretleridDuzenle(IF(B161&lt;&gt;0,CONCATENATE(E161,"=",A161,","),"")))</f>
        <v/>
      </c>
      <c r="L161" s="1"/>
    </row>
    <row r="162" spans="5:12" x14ac:dyDescent="0.25">
      <c r="E162" s="2" t="str">
        <f>myfn_buyuk_harfe_cevir(myfn_turkceToIngilizce(myfn_bosluklariVeIsaretleridDuzenle(D162)))</f>
        <v/>
      </c>
      <c r="F162" s="1"/>
      <c r="G162" s="1"/>
      <c r="H162" s="1"/>
      <c r="I162" s="1" t="str">
        <f t="shared" si="9"/>
        <v/>
      </c>
      <c r="J162" s="1" t="str">
        <f t="shared" si="8"/>
        <v/>
      </c>
      <c r="K162" s="1" t="str">
        <f>myfn_bosluklariVeIsaretleridDuzenle(myfn_bosluklariVeIsaretleridDuzenle(IF(B162&lt;&gt;0,CONCATENATE(E162,"=",A162,","),"")))</f>
        <v/>
      </c>
      <c r="L162" s="1"/>
    </row>
    <row r="163" spans="5:12" x14ac:dyDescent="0.25">
      <c r="E163" s="2" t="str">
        <f>myfn_buyuk_harfe_cevir(myfn_turkceToIngilizce(myfn_bosluklariVeIsaretleridDuzenle(D163)))</f>
        <v/>
      </c>
      <c r="F163" s="1"/>
      <c r="G163" s="1"/>
      <c r="H163" s="1"/>
      <c r="I163" s="1" t="str">
        <f t="shared" si="9"/>
        <v/>
      </c>
      <c r="J163" s="1" t="str">
        <f t="shared" si="8"/>
        <v/>
      </c>
      <c r="K163" s="1" t="str">
        <f>myfn_bosluklariVeIsaretleridDuzenle(myfn_bosluklariVeIsaretleridDuzenle(IF(B163&lt;&gt;0,CONCATENATE(E163,"=",A163,","),"")))</f>
        <v/>
      </c>
      <c r="L163" s="1"/>
    </row>
    <row r="164" spans="5:12" x14ac:dyDescent="0.25">
      <c r="E164" s="2" t="str">
        <f>myfn_buyuk_harfe_cevir(myfn_turkceToIngilizce(myfn_bosluklariVeIsaretleridDuzenle(D164)))</f>
        <v/>
      </c>
      <c r="F164" s="1"/>
      <c r="G164" s="1"/>
      <c r="H164" s="1"/>
      <c r="I164" s="1" t="str">
        <f t="shared" si="9"/>
        <v/>
      </c>
      <c r="J164" s="1" t="str">
        <f t="shared" si="8"/>
        <v/>
      </c>
      <c r="K164" s="1" t="str">
        <f>myfn_bosluklariVeIsaretleridDuzenle(myfn_bosluklariVeIsaretleridDuzenle(IF(B164&lt;&gt;0,CONCATENATE(E164,"=",A164,","),"")))</f>
        <v/>
      </c>
      <c r="L164" s="1"/>
    </row>
    <row r="165" spans="5:12" x14ac:dyDescent="0.25">
      <c r="E165" s="2" t="str">
        <f>myfn_buyuk_harfe_cevir(myfn_turkceToIngilizce(myfn_bosluklariVeIsaretleridDuzenle(D165)))</f>
        <v/>
      </c>
      <c r="F165" s="1"/>
      <c r="G165" s="1"/>
      <c r="H165" s="1"/>
      <c r="I165" s="1" t="str">
        <f t="shared" si="9"/>
        <v/>
      </c>
      <c r="J165" s="1" t="str">
        <f t="shared" si="8"/>
        <v/>
      </c>
      <c r="K165" s="1" t="str">
        <f>myfn_bosluklariVeIsaretleridDuzenle(myfn_bosluklariVeIsaretleridDuzenle(IF(B165&lt;&gt;0,CONCATENATE(E165,"=",A165,","),"")))</f>
        <v/>
      </c>
      <c r="L165" s="1"/>
    </row>
    <row r="166" spans="5:12" x14ac:dyDescent="0.25">
      <c r="E166" s="2" t="str">
        <f>myfn_buyuk_harfe_cevir(myfn_turkceToIngilizce(myfn_bosluklariVeIsaretleridDuzenle(D166)))</f>
        <v/>
      </c>
      <c r="F166" s="1"/>
      <c r="G166" s="1"/>
      <c r="H166" s="1"/>
      <c r="I166" s="1" t="str">
        <f t="shared" si="9"/>
        <v/>
      </c>
      <c r="J166" s="1" t="str">
        <f t="shared" si="8"/>
        <v/>
      </c>
      <c r="K166" s="1" t="str">
        <f>myfn_bosluklariVeIsaretleridDuzenle(myfn_bosluklariVeIsaretleridDuzenle(IF(B166&lt;&gt;0,CONCATENATE(E166,"=",A166,","),"")))</f>
        <v/>
      </c>
      <c r="L166" s="1"/>
    </row>
    <row r="167" spans="5:12" x14ac:dyDescent="0.25">
      <c r="E167" s="2" t="str">
        <f>myfn_buyuk_harfe_cevir(myfn_turkceToIngilizce(myfn_bosluklariVeIsaretleridDuzenle(D167)))</f>
        <v/>
      </c>
      <c r="F167" s="1"/>
      <c r="G167" s="1"/>
      <c r="H167" s="1"/>
      <c r="I167" s="1" t="str">
        <f t="shared" si="9"/>
        <v/>
      </c>
      <c r="J167" s="1" t="str">
        <f t="shared" si="8"/>
        <v/>
      </c>
      <c r="K167" s="1" t="str">
        <f>myfn_bosluklariVeIsaretleridDuzenle(myfn_bosluklariVeIsaretleridDuzenle(IF(B167&lt;&gt;0,CONCATENATE(E167,"=",A167,","),"")))</f>
        <v/>
      </c>
      <c r="L167" s="1"/>
    </row>
    <row r="168" spans="5:12" x14ac:dyDescent="0.25">
      <c r="E168" s="2" t="str">
        <f>myfn_buyuk_harfe_cevir(myfn_turkceToIngilizce(myfn_bosluklariVeIsaretleridDuzenle(D168)))</f>
        <v/>
      </c>
      <c r="F168" s="1"/>
      <c r="G168" s="1"/>
      <c r="H168" s="1"/>
      <c r="I168" s="1" t="str">
        <f t="shared" si="9"/>
        <v/>
      </c>
      <c r="J168" s="1" t="str">
        <f t="shared" si="8"/>
        <v/>
      </c>
      <c r="K168" s="1" t="str">
        <f>myfn_bosluklariVeIsaretleridDuzenle(myfn_bosluklariVeIsaretleridDuzenle(IF(B168&lt;&gt;0,CONCATENATE(E168,"=",A168,","),"")))</f>
        <v/>
      </c>
      <c r="L168" s="1"/>
    </row>
    <row r="169" spans="5:12" x14ac:dyDescent="0.25">
      <c r="E169" s="2" t="str">
        <f>myfn_buyuk_harfe_cevir(myfn_turkceToIngilizce(myfn_bosluklariVeIsaretleridDuzenle(D169)))</f>
        <v/>
      </c>
      <c r="F169" s="1"/>
      <c r="G169" s="1"/>
      <c r="H169" s="1"/>
      <c r="I169" s="1" t="str">
        <f t="shared" si="9"/>
        <v/>
      </c>
      <c r="J169" s="1" t="str">
        <f t="shared" si="8"/>
        <v/>
      </c>
      <c r="K169" s="1" t="str">
        <f>myfn_bosluklariVeIsaretleridDuzenle(myfn_bosluklariVeIsaretleridDuzenle(IF(B169&lt;&gt;0,CONCATENATE(E169,"=",A169,","),"")))</f>
        <v/>
      </c>
      <c r="L169" s="1"/>
    </row>
    <row r="170" spans="5:12" x14ac:dyDescent="0.25">
      <c r="E170" s="2" t="str">
        <f>myfn_buyuk_harfe_cevir(myfn_turkceToIngilizce(myfn_bosluklariVeIsaretleridDuzenle(D170)))</f>
        <v/>
      </c>
      <c r="F170" s="1"/>
      <c r="G170" s="1"/>
      <c r="H170" s="1"/>
      <c r="I170" s="1" t="str">
        <f t="shared" si="9"/>
        <v/>
      </c>
      <c r="J170" s="1" t="str">
        <f t="shared" si="8"/>
        <v/>
      </c>
      <c r="K170" s="1" t="str">
        <f>myfn_bosluklariVeIsaretleridDuzenle(myfn_bosluklariVeIsaretleridDuzenle(IF(B170&lt;&gt;0,CONCATENATE(E170,"=",A170,","),"")))</f>
        <v/>
      </c>
      <c r="L170" s="1"/>
    </row>
    <row r="171" spans="5:12" x14ac:dyDescent="0.25">
      <c r="E171" s="2" t="str">
        <f>myfn_buyuk_harfe_cevir(myfn_turkceToIngilizce(myfn_bosluklariVeIsaretleridDuzenle(D171)))</f>
        <v/>
      </c>
      <c r="F171" s="1"/>
      <c r="G171" s="1"/>
      <c r="H171" s="1"/>
      <c r="I171" s="1" t="str">
        <f t="shared" si="9"/>
        <v/>
      </c>
      <c r="J171" s="1" t="str">
        <f t="shared" si="8"/>
        <v/>
      </c>
      <c r="K171" s="1" t="str">
        <f>myfn_bosluklariVeIsaretleridDuzenle(myfn_bosluklariVeIsaretleridDuzenle(IF(B171&lt;&gt;0,CONCATENATE(E171,"=",A171,","),"")))</f>
        <v/>
      </c>
      <c r="L171" s="1"/>
    </row>
    <row r="172" spans="5:12" x14ac:dyDescent="0.25">
      <c r="E172" s="2" t="str">
        <f>myfn_buyuk_harfe_cevir(myfn_turkceToIngilizce(myfn_bosluklariVeIsaretleridDuzenle(D172)))</f>
        <v/>
      </c>
      <c r="F172" s="1"/>
      <c r="G172" s="1"/>
      <c r="H172" s="1"/>
      <c r="I172" s="1" t="str">
        <f t="shared" si="9"/>
        <v/>
      </c>
      <c r="J172" s="1" t="str">
        <f t="shared" si="8"/>
        <v/>
      </c>
      <c r="K172" s="1" t="str">
        <f>myfn_bosluklariVeIsaretleridDuzenle(myfn_bosluklariVeIsaretleridDuzenle(IF(B172&lt;&gt;0,CONCATENATE(E172,"=",A172,","),"")))</f>
        <v/>
      </c>
      <c r="L172" s="1"/>
    </row>
    <row r="173" spans="5:12" x14ac:dyDescent="0.25">
      <c r="E173" s="2" t="str">
        <f>myfn_buyuk_harfe_cevir(myfn_turkceToIngilizce(myfn_bosluklariVeIsaretleridDuzenle(D173)))</f>
        <v/>
      </c>
      <c r="F173" s="1"/>
      <c r="G173" s="1"/>
      <c r="H173" s="1"/>
      <c r="I173" s="1" t="str">
        <f t="shared" si="9"/>
        <v/>
      </c>
      <c r="J173" s="1" t="str">
        <f t="shared" si="8"/>
        <v/>
      </c>
      <c r="K173" s="1" t="str">
        <f>myfn_bosluklariVeIsaretleridDuzenle(myfn_bosluklariVeIsaretleridDuzenle(IF(B173&lt;&gt;0,CONCATENATE(E173,"=",A173,","),"")))</f>
        <v/>
      </c>
      <c r="L173" s="1"/>
    </row>
    <row r="174" spans="5:12" x14ac:dyDescent="0.25">
      <c r="E174" s="2" t="str">
        <f>myfn_buyuk_harfe_cevir(myfn_turkceToIngilizce(myfn_bosluklariVeIsaretleridDuzenle(D174)))</f>
        <v/>
      </c>
      <c r="F174" s="1"/>
      <c r="G174" s="1"/>
      <c r="H174" s="1"/>
      <c r="I174" s="1" t="str">
        <f t="shared" si="9"/>
        <v/>
      </c>
      <c r="J174" s="1" t="str">
        <f t="shared" si="8"/>
        <v/>
      </c>
      <c r="K174" s="1" t="str">
        <f>myfn_bosluklariVeIsaretleridDuzenle(myfn_bosluklariVeIsaretleridDuzenle(IF(B174&lt;&gt;0,CONCATENATE(E174,"=",A174,","),"")))</f>
        <v/>
      </c>
      <c r="L174" s="1"/>
    </row>
    <row r="175" spans="5:12" x14ac:dyDescent="0.25">
      <c r="E175" s="2" t="str">
        <f>myfn_buyuk_harfe_cevir(myfn_turkceToIngilizce(myfn_bosluklariVeIsaretleridDuzenle(D175)))</f>
        <v/>
      </c>
      <c r="F175" s="1"/>
      <c r="G175" s="1"/>
      <c r="H175" s="1"/>
      <c r="I175" s="1" t="str">
        <f t="shared" si="9"/>
        <v/>
      </c>
      <c r="J175" s="1" t="str">
        <f t="shared" si="8"/>
        <v/>
      </c>
      <c r="K175" s="1" t="str">
        <f>myfn_bosluklariVeIsaretleridDuzenle(myfn_bosluklariVeIsaretleridDuzenle(IF(B175&lt;&gt;0,CONCATENATE(E175,"=",A175,","),"")))</f>
        <v/>
      </c>
      <c r="L175" s="1"/>
    </row>
    <row r="176" spans="5:12" x14ac:dyDescent="0.25">
      <c r="E176" s="2" t="str">
        <f>myfn_buyuk_harfe_cevir(myfn_turkceToIngilizce(myfn_bosluklariVeIsaretleridDuzenle(D176)))</f>
        <v/>
      </c>
      <c r="F176" s="1"/>
      <c r="G176" s="1"/>
      <c r="H176" s="1"/>
      <c r="I176" s="1" t="str">
        <f t="shared" si="9"/>
        <v/>
      </c>
      <c r="J176" s="1" t="str">
        <f t="shared" si="8"/>
        <v/>
      </c>
      <c r="K176" s="1" t="str">
        <f>myfn_bosluklariVeIsaretleridDuzenle(myfn_bosluklariVeIsaretleridDuzenle(IF(B176&lt;&gt;0,CONCATENATE(E176,"=",A176,","),"")))</f>
        <v/>
      </c>
      <c r="L176" s="1"/>
    </row>
    <row r="177" spans="5:12" x14ac:dyDescent="0.25">
      <c r="E177" s="2" t="str">
        <f>myfn_buyuk_harfe_cevir(myfn_turkceToIngilizce(myfn_bosluklariVeIsaretleridDuzenle(D177)))</f>
        <v/>
      </c>
      <c r="F177" s="1"/>
      <c r="G177" s="1"/>
      <c r="H177" s="1"/>
      <c r="I177" s="1" t="str">
        <f t="shared" si="9"/>
        <v/>
      </c>
      <c r="J177" s="1" t="str">
        <f t="shared" si="8"/>
        <v/>
      </c>
      <c r="K177" s="1" t="str">
        <f>myfn_bosluklariVeIsaretleridDuzenle(myfn_bosluklariVeIsaretleridDuzenle(IF(B177&lt;&gt;0,CONCATENATE(E177,"=",A177,","),"")))</f>
        <v/>
      </c>
      <c r="L177" s="1"/>
    </row>
    <row r="178" spans="5:12" x14ac:dyDescent="0.25">
      <c r="E178" s="2" t="str">
        <f>myfn_buyuk_harfe_cevir(myfn_turkceToIngilizce(myfn_bosluklariVeIsaretleridDuzenle(D178)))</f>
        <v/>
      </c>
      <c r="F178" s="1"/>
      <c r="G178" s="1"/>
      <c r="H178" s="1"/>
      <c r="I178" s="1" t="str">
        <f t="shared" si="9"/>
        <v/>
      </c>
      <c r="J178" s="1" t="str">
        <f t="shared" si="8"/>
        <v/>
      </c>
      <c r="K178" s="1" t="str">
        <f>myfn_bosluklariVeIsaretleridDuzenle(myfn_bosluklariVeIsaretleridDuzenle(IF(B178&lt;&gt;0,CONCATENATE(E178,"=",A178,","),"")))</f>
        <v/>
      </c>
      <c r="L178" s="1"/>
    </row>
    <row r="179" spans="5:12" x14ac:dyDescent="0.25">
      <c r="E179" s="2" t="str">
        <f>myfn_buyuk_harfe_cevir(myfn_turkceToIngilizce(myfn_bosluklariVeIsaretleridDuzenle(D179)))</f>
        <v/>
      </c>
      <c r="F179" s="1"/>
      <c r="G179" s="1"/>
      <c r="H179" s="1"/>
      <c r="I179" s="1" t="str">
        <f t="shared" si="9"/>
        <v/>
      </c>
      <c r="J179" s="1" t="str">
        <f t="shared" si="8"/>
        <v/>
      </c>
      <c r="K179" s="1" t="str">
        <f>myfn_bosluklariVeIsaretleridDuzenle(myfn_bosluklariVeIsaretleridDuzenle(IF(B179&lt;&gt;0,CONCATENATE(E179,"=",A179,","),"")))</f>
        <v/>
      </c>
      <c r="L179" s="1"/>
    </row>
    <row r="180" spans="5:12" x14ac:dyDescent="0.25">
      <c r="E180" s="2" t="str">
        <f>myfn_buyuk_harfe_cevir(myfn_turkceToIngilizce(myfn_bosluklariVeIsaretleridDuzenle(D180)))</f>
        <v/>
      </c>
      <c r="F180" s="1"/>
      <c r="G180" s="1"/>
      <c r="H180" s="1"/>
      <c r="I180" s="1" t="str">
        <f t="shared" si="9"/>
        <v/>
      </c>
      <c r="J180" s="1" t="str">
        <f t="shared" si="8"/>
        <v/>
      </c>
      <c r="K180" s="1" t="str">
        <f>myfn_bosluklariVeIsaretleridDuzenle(myfn_bosluklariVeIsaretleridDuzenle(IF(B180&lt;&gt;0,CONCATENATE(E180,"=",A180,","),"")))</f>
        <v/>
      </c>
      <c r="L180" s="1"/>
    </row>
    <row r="181" spans="5:12" x14ac:dyDescent="0.25">
      <c r="E181" s="2" t="str">
        <f>myfn_buyuk_harfe_cevir(myfn_turkceToIngilizce(myfn_bosluklariVeIsaretleridDuzenle(D181)))</f>
        <v/>
      </c>
      <c r="F181" s="1"/>
      <c r="G181" s="1"/>
      <c r="H181" s="1"/>
      <c r="I181" s="1" t="str">
        <f t="shared" si="9"/>
        <v/>
      </c>
      <c r="J181" s="1" t="str">
        <f t="shared" si="8"/>
        <v/>
      </c>
      <c r="K181" s="1" t="str">
        <f>myfn_bosluklariVeIsaretleridDuzenle(myfn_bosluklariVeIsaretleridDuzenle(IF(B181&lt;&gt;0,CONCATENATE(E181,"=",A181,","),"")))</f>
        <v/>
      </c>
      <c r="L181" s="1"/>
    </row>
    <row r="182" spans="5:12" x14ac:dyDescent="0.25">
      <c r="E182" s="2" t="str">
        <f>myfn_buyuk_harfe_cevir(myfn_turkceToIngilizce(myfn_bosluklariVeIsaretleridDuzenle(D182)))</f>
        <v/>
      </c>
      <c r="F182" s="1"/>
      <c r="G182" s="1"/>
      <c r="H182" s="1"/>
      <c r="I182" s="1" t="str">
        <f t="shared" si="9"/>
        <v/>
      </c>
      <c r="J182" s="1" t="str">
        <f t="shared" si="8"/>
        <v/>
      </c>
      <c r="K182" s="1" t="str">
        <f>myfn_bosluklariVeIsaretleridDuzenle(myfn_bosluklariVeIsaretleridDuzenle(IF(B182&lt;&gt;0,CONCATENATE(E182,"=",A182,","),"")))</f>
        <v/>
      </c>
      <c r="L182" s="1"/>
    </row>
    <row r="183" spans="5:12" x14ac:dyDescent="0.25">
      <c r="E183"/>
      <c r="I183" s="1" t="str">
        <f t="shared" si="9"/>
        <v/>
      </c>
      <c r="J183" s="1" t="str">
        <f t="shared" ref="J183:J196" si="10">IF(AND(B183&lt;&gt;"",B183=0),CONCATENATE(" public enum ",E183,"{","
        }"),"")</f>
        <v/>
      </c>
      <c r="K183" s="1" t="str">
        <f>myfn_bosluklariVeIsaretleridDuzenle(myfn_bosluklariVeIsaretleridDuzenle(IF(B183&lt;&gt;0,CONCATENATE(E183,"=",A183,","),"")))</f>
        <v/>
      </c>
    </row>
    <row r="184" spans="5:12" x14ac:dyDescent="0.25">
      <c r="E184"/>
      <c r="I184" s="1" t="str">
        <f t="shared" si="9"/>
        <v/>
      </c>
      <c r="J184" s="1" t="str">
        <f t="shared" si="10"/>
        <v/>
      </c>
      <c r="K184" s="1" t="str">
        <f>myfn_bosluklariVeIsaretleridDuzenle(myfn_bosluklariVeIsaretleridDuzenle(IF(B184&lt;&gt;0,CONCATENATE(E184,"=",A184,","),"")))</f>
        <v/>
      </c>
    </row>
    <row r="185" spans="5:12" x14ac:dyDescent="0.25">
      <c r="E185"/>
      <c r="I185" s="1" t="str">
        <f t="shared" si="9"/>
        <v/>
      </c>
      <c r="J185" s="1" t="str">
        <f t="shared" si="10"/>
        <v/>
      </c>
      <c r="K185" s="1" t="str">
        <f>myfn_bosluklariVeIsaretleridDuzenle(myfn_bosluklariVeIsaretleridDuzenle(IF(B185&lt;&gt;0,CONCATENATE(E185,"=",A185,","),"")))</f>
        <v/>
      </c>
    </row>
    <row r="186" spans="5:12" x14ac:dyDescent="0.25">
      <c r="E186"/>
      <c r="I186" s="1" t="str">
        <f t="shared" si="9"/>
        <v/>
      </c>
      <c r="J186" s="1" t="str">
        <f t="shared" si="10"/>
        <v/>
      </c>
      <c r="K186" s="1" t="str">
        <f>myfn_bosluklariVeIsaretleridDuzenle(myfn_bosluklariVeIsaretleridDuzenle(IF(B186&lt;&gt;0,CONCATENATE(E186,"=",A186,","),"")))</f>
        <v/>
      </c>
    </row>
    <row r="187" spans="5:12" x14ac:dyDescent="0.25">
      <c r="E187"/>
      <c r="I187" s="1" t="str">
        <f t="shared" si="9"/>
        <v/>
      </c>
      <c r="J187" s="1" t="str">
        <f t="shared" si="10"/>
        <v/>
      </c>
      <c r="K187" s="1" t="str">
        <f>myfn_bosluklariVeIsaretleridDuzenle(myfn_bosluklariVeIsaretleridDuzenle(IF(B187&lt;&gt;0,CONCATENATE(E187,"=",A187,","),"")))</f>
        <v/>
      </c>
    </row>
    <row r="188" spans="5:12" x14ac:dyDescent="0.25">
      <c r="E188"/>
      <c r="I188" s="1" t="str">
        <f t="shared" si="9"/>
        <v/>
      </c>
      <c r="J188" s="1" t="str">
        <f t="shared" si="10"/>
        <v/>
      </c>
      <c r="K188" s="1" t="str">
        <f>myfn_bosluklariVeIsaretleridDuzenle(myfn_bosluklariVeIsaretleridDuzenle(IF(B188&lt;&gt;0,CONCATENATE(E188,"=",A188,","),"")))</f>
        <v/>
      </c>
    </row>
    <row r="189" spans="5:12" x14ac:dyDescent="0.25">
      <c r="E189"/>
      <c r="I189" s="1" t="str">
        <f t="shared" si="9"/>
        <v/>
      </c>
      <c r="J189" s="1" t="str">
        <f t="shared" si="10"/>
        <v/>
      </c>
      <c r="K189" s="1" t="str">
        <f>myfn_bosluklariVeIsaretleridDuzenle(myfn_bosluklariVeIsaretleridDuzenle(IF(B189&lt;&gt;0,CONCATENATE(E189,"=",A189,","),"")))</f>
        <v/>
      </c>
    </row>
    <row r="190" spans="5:12" x14ac:dyDescent="0.25">
      <c r="E190"/>
      <c r="I190" s="1" t="str">
        <f t="shared" si="9"/>
        <v/>
      </c>
      <c r="J190" s="1" t="str">
        <f t="shared" si="10"/>
        <v/>
      </c>
      <c r="K190" s="1" t="str">
        <f>myfn_bosluklariVeIsaretleridDuzenle(myfn_bosluklariVeIsaretleridDuzenle(IF(B190&lt;&gt;0,CONCATENATE(E190,"=",A190,","),"")))</f>
        <v/>
      </c>
    </row>
    <row r="191" spans="5:12" x14ac:dyDescent="0.25">
      <c r="E191"/>
      <c r="I191" s="1" t="str">
        <f t="shared" si="9"/>
        <v/>
      </c>
      <c r="J191" s="1" t="str">
        <f t="shared" si="10"/>
        <v/>
      </c>
      <c r="K191" s="1" t="str">
        <f>myfn_bosluklariVeIsaretleridDuzenle(myfn_bosluklariVeIsaretleridDuzenle(IF(B191&lt;&gt;0,CONCATENATE(E191,"=",A191,","),"")))</f>
        <v/>
      </c>
    </row>
    <row r="192" spans="5:12" x14ac:dyDescent="0.25">
      <c r="E192"/>
      <c r="I192" s="1" t="str">
        <f t="shared" si="9"/>
        <v/>
      </c>
      <c r="J192" s="1" t="str">
        <f t="shared" si="10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25">
      <c r="E193"/>
      <c r="I193" s="1" t="str">
        <f t="shared" si="9"/>
        <v/>
      </c>
      <c r="J193" s="1" t="str">
        <f t="shared" si="10"/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25">
      <c r="E194"/>
      <c r="I194" s="1" t="str">
        <f t="shared" si="9"/>
        <v/>
      </c>
      <c r="J194" s="1" t="str">
        <f t="shared" si="10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25">
      <c r="E195"/>
      <c r="I195" s="1" t="str">
        <f t="shared" si="9"/>
        <v/>
      </c>
      <c r="J195" s="1" t="str">
        <f t="shared" si="10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25">
      <c r="E196"/>
      <c r="I196" s="1" t="str">
        <f t="shared" si="9"/>
        <v/>
      </c>
      <c r="J196" s="1" t="str">
        <f t="shared" si="10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25">
      <c r="E197"/>
      <c r="I197" s="1" t="str">
        <f t="shared" si="9"/>
        <v/>
      </c>
      <c r="J197" s="1" t="str">
        <f t="shared" ref="J197:J217" si="11">IF(AND(B197&lt;&gt;"",B197=0),CONCATENATE(" public enum ",E197,"{","
        }"),"")</f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25">
      <c r="E198"/>
      <c r="I198" s="1" t="str">
        <f t="shared" si="9"/>
        <v/>
      </c>
      <c r="J198" s="1" t="str">
        <f t="shared" si="11"/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25">
      <c r="E199"/>
      <c r="I199" s="1" t="str">
        <f t="shared" si="9"/>
        <v/>
      </c>
      <c r="J199" s="1" t="str">
        <f t="shared" si="11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25">
      <c r="E200"/>
      <c r="I200" s="1" t="str">
        <f t="shared" si="9"/>
        <v/>
      </c>
      <c r="J200" s="1" t="str">
        <f t="shared" si="11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25">
      <c r="E201"/>
      <c r="I201" s="1" t="str">
        <f t="shared" si="9"/>
        <v/>
      </c>
      <c r="J201" s="1" t="str">
        <f t="shared" si="11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25">
      <c r="E202"/>
      <c r="I202" s="1" t="str">
        <f t="shared" si="9"/>
        <v/>
      </c>
      <c r="J202" s="1" t="str">
        <f t="shared" si="11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25">
      <c r="E203"/>
      <c r="I203" s="1" t="str">
        <f t="shared" si="9"/>
        <v/>
      </c>
      <c r="J203" s="1" t="str">
        <f t="shared" si="11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25">
      <c r="E204"/>
      <c r="I204" s="1" t="str">
        <f t="shared" si="9"/>
        <v/>
      </c>
      <c r="J204" s="1" t="str">
        <f t="shared" si="11"/>
        <v/>
      </c>
      <c r="K204" s="1" t="str">
        <f>myfn_bosluklariVeIsaretleridDuzenle(myfn_bosluklariVeIsaretleridDuzenle(IF(B204&lt;&gt;0,CONCATENATE(E204,"=",A204,","),"")))</f>
        <v/>
      </c>
    </row>
    <row r="205" spans="5:11" x14ac:dyDescent="0.25">
      <c r="E205"/>
      <c r="I205" s="1" t="str">
        <f t="shared" si="9"/>
        <v/>
      </c>
      <c r="J205" s="1" t="str">
        <f t="shared" si="11"/>
        <v/>
      </c>
      <c r="K205" s="1" t="str">
        <f>myfn_bosluklariVeIsaretleridDuzenle(myfn_bosluklariVeIsaretleridDuzenle(IF(B205&lt;&gt;0,CONCATENATE(E205,"=",A205,","),"")))</f>
        <v/>
      </c>
    </row>
    <row r="206" spans="5:11" x14ac:dyDescent="0.25">
      <c r="E206"/>
      <c r="I206" s="1" t="str">
        <f t="shared" si="9"/>
        <v/>
      </c>
      <c r="J206" s="1" t="str">
        <f t="shared" si="11"/>
        <v/>
      </c>
      <c r="K206" s="1" t="str">
        <f>myfn_bosluklariVeIsaretleridDuzenle(myfn_bosluklariVeIsaretleridDuzenle(IF(B206&lt;&gt;0,CONCATENATE(E206,"=",A206,","),"")))</f>
        <v/>
      </c>
    </row>
    <row r="207" spans="5:11" x14ac:dyDescent="0.25">
      <c r="E207"/>
      <c r="I207" s="1" t="str">
        <f t="shared" ref="I207:I266" si="12">IF(AND(B207&lt;&gt;""),CONCATENATE("INSERT INTO t_kod (ID,TIP_ID,SIRA,KOD,KISA_AD,DIGER_UYG_ENUM_AD,DIGER_UYG_ID)VALUES(",A207,",",B207,",",C207,,",","'",D207,"'",",","'",F207,"'",",",IF(_xlfn.IFNA(G207,0)&gt;0,CONCATENATE("'",G207,"'"),"null"),",",IF(_xlfn.IFNA(G207,0)&gt;0,CONCATENATE("'",H207,"'"),"null"),");"),"")</f>
        <v/>
      </c>
      <c r="J207" s="1" t="str">
        <f t="shared" si="11"/>
        <v/>
      </c>
      <c r="K207" s="1" t="str">
        <f>myfn_bosluklariVeIsaretleridDuzenle(myfn_bosluklariVeIsaretleridDuzenle(IF(B207&lt;&gt;0,CONCATENATE(E207,"=",A207,","),"")))</f>
        <v/>
      </c>
    </row>
    <row r="208" spans="5:11" x14ac:dyDescent="0.25">
      <c r="E208"/>
      <c r="I208" s="1" t="str">
        <f t="shared" si="12"/>
        <v/>
      </c>
      <c r="J208" s="1" t="str">
        <f t="shared" si="11"/>
        <v/>
      </c>
    </row>
    <row r="209" spans="5:10" x14ac:dyDescent="0.25">
      <c r="E209"/>
      <c r="I209" s="1" t="str">
        <f t="shared" si="12"/>
        <v/>
      </c>
      <c r="J209" s="1" t="str">
        <f t="shared" si="11"/>
        <v/>
      </c>
    </row>
    <row r="210" spans="5:10" x14ac:dyDescent="0.25">
      <c r="E210"/>
      <c r="I210" s="1" t="str">
        <f t="shared" si="12"/>
        <v/>
      </c>
      <c r="J210" s="1" t="str">
        <f t="shared" si="11"/>
        <v/>
      </c>
    </row>
    <row r="211" spans="5:10" x14ac:dyDescent="0.25">
      <c r="E211"/>
      <c r="I211" s="1" t="str">
        <f t="shared" si="12"/>
        <v/>
      </c>
      <c r="J211" s="1" t="str">
        <f t="shared" si="11"/>
        <v/>
      </c>
    </row>
    <row r="212" spans="5:10" x14ac:dyDescent="0.25">
      <c r="E212"/>
      <c r="I212" s="1" t="str">
        <f t="shared" si="12"/>
        <v/>
      </c>
      <c r="J212" s="1" t="str">
        <f t="shared" si="11"/>
        <v/>
      </c>
    </row>
    <row r="213" spans="5:10" x14ac:dyDescent="0.25">
      <c r="E213"/>
      <c r="I213" s="1" t="str">
        <f t="shared" si="12"/>
        <v/>
      </c>
      <c r="J213" s="1" t="str">
        <f t="shared" si="11"/>
        <v/>
      </c>
    </row>
    <row r="214" spans="5:10" x14ac:dyDescent="0.25">
      <c r="E214"/>
      <c r="I214" s="1" t="str">
        <f t="shared" si="12"/>
        <v/>
      </c>
      <c r="J214" s="1" t="str">
        <f t="shared" si="11"/>
        <v/>
      </c>
    </row>
    <row r="215" spans="5:10" x14ac:dyDescent="0.25">
      <c r="E215"/>
      <c r="I215" s="1" t="str">
        <f t="shared" si="12"/>
        <v/>
      </c>
      <c r="J215" s="1" t="str">
        <f t="shared" si="11"/>
        <v/>
      </c>
    </row>
    <row r="216" spans="5:10" x14ac:dyDescent="0.25">
      <c r="E216"/>
      <c r="I216" s="1" t="str">
        <f t="shared" si="12"/>
        <v/>
      </c>
      <c r="J216" s="1" t="str">
        <f t="shared" si="11"/>
        <v/>
      </c>
    </row>
    <row r="217" spans="5:10" x14ac:dyDescent="0.25">
      <c r="E217"/>
      <c r="I217" s="1" t="str">
        <f t="shared" si="12"/>
        <v/>
      </c>
      <c r="J217" s="1" t="str">
        <f t="shared" si="11"/>
        <v/>
      </c>
    </row>
    <row r="218" spans="5:10" x14ac:dyDescent="0.25">
      <c r="E218"/>
      <c r="I218" s="1" t="str">
        <f t="shared" si="12"/>
        <v/>
      </c>
    </row>
    <row r="219" spans="5:10" x14ac:dyDescent="0.25">
      <c r="E219"/>
      <c r="I219" s="1" t="str">
        <f t="shared" si="12"/>
        <v/>
      </c>
    </row>
    <row r="220" spans="5:10" x14ac:dyDescent="0.25">
      <c r="E220"/>
      <c r="I220" s="1" t="str">
        <f t="shared" si="12"/>
        <v/>
      </c>
    </row>
    <row r="221" spans="5:10" x14ac:dyDescent="0.25">
      <c r="E221"/>
      <c r="I221" s="1" t="str">
        <f t="shared" si="12"/>
        <v/>
      </c>
    </row>
    <row r="222" spans="5:10" x14ac:dyDescent="0.25">
      <c r="E222"/>
      <c r="I222" s="1" t="str">
        <f t="shared" si="12"/>
        <v/>
      </c>
    </row>
    <row r="223" spans="5:10" x14ac:dyDescent="0.25">
      <c r="E223"/>
      <c r="I223" s="1" t="str">
        <f t="shared" si="12"/>
        <v/>
      </c>
    </row>
    <row r="224" spans="5:10" x14ac:dyDescent="0.25">
      <c r="E224"/>
      <c r="I224" s="1" t="str">
        <f t="shared" si="12"/>
        <v/>
      </c>
    </row>
    <row r="225" spans="5:9" x14ac:dyDescent="0.25">
      <c r="E225"/>
      <c r="I225" s="1" t="str">
        <f t="shared" si="12"/>
        <v/>
      </c>
    </row>
    <row r="226" spans="5:9" x14ac:dyDescent="0.25">
      <c r="E226"/>
      <c r="I226" s="1" t="str">
        <f t="shared" si="12"/>
        <v/>
      </c>
    </row>
    <row r="227" spans="5:9" x14ac:dyDescent="0.25">
      <c r="E227"/>
      <c r="I227" s="1" t="str">
        <f t="shared" si="12"/>
        <v/>
      </c>
    </row>
    <row r="228" spans="5:9" x14ac:dyDescent="0.25">
      <c r="E228"/>
      <c r="I228" s="1" t="str">
        <f t="shared" si="12"/>
        <v/>
      </c>
    </row>
    <row r="229" spans="5:9" x14ac:dyDescent="0.25">
      <c r="E229"/>
      <c r="I229" s="1" t="str">
        <f t="shared" si="12"/>
        <v/>
      </c>
    </row>
    <row r="230" spans="5:9" x14ac:dyDescent="0.25">
      <c r="E230"/>
      <c r="I230" s="1" t="str">
        <f t="shared" si="12"/>
        <v/>
      </c>
    </row>
    <row r="231" spans="5:9" x14ac:dyDescent="0.25">
      <c r="E231"/>
      <c r="I231" s="1" t="str">
        <f t="shared" si="12"/>
        <v/>
      </c>
    </row>
    <row r="232" spans="5:9" x14ac:dyDescent="0.25">
      <c r="E232"/>
      <c r="I232" s="1" t="str">
        <f t="shared" si="12"/>
        <v/>
      </c>
    </row>
    <row r="233" spans="5:9" x14ac:dyDescent="0.25">
      <c r="E233"/>
      <c r="I233" s="1" t="str">
        <f t="shared" si="12"/>
        <v/>
      </c>
    </row>
    <row r="234" spans="5:9" x14ac:dyDescent="0.25">
      <c r="E234"/>
      <c r="I234" s="1" t="str">
        <f t="shared" si="12"/>
        <v/>
      </c>
    </row>
    <row r="235" spans="5:9" x14ac:dyDescent="0.25">
      <c r="E235"/>
      <c r="I235" s="1" t="str">
        <f t="shared" si="12"/>
        <v/>
      </c>
    </row>
    <row r="236" spans="5:9" x14ac:dyDescent="0.25">
      <c r="E236"/>
      <c r="I236" s="1" t="str">
        <f t="shared" si="12"/>
        <v/>
      </c>
    </row>
    <row r="237" spans="5:9" x14ac:dyDescent="0.25">
      <c r="E237"/>
      <c r="I237" s="1" t="str">
        <f t="shared" si="12"/>
        <v/>
      </c>
    </row>
    <row r="238" spans="5:9" x14ac:dyDescent="0.25">
      <c r="E238"/>
      <c r="I238" s="1" t="str">
        <f t="shared" si="12"/>
        <v/>
      </c>
    </row>
    <row r="239" spans="5:9" x14ac:dyDescent="0.25">
      <c r="E239"/>
      <c r="I239" s="1" t="str">
        <f t="shared" si="12"/>
        <v/>
      </c>
    </row>
    <row r="240" spans="5:9" x14ac:dyDescent="0.25">
      <c r="E240"/>
      <c r="I240" s="1" t="str">
        <f t="shared" si="12"/>
        <v/>
      </c>
    </row>
    <row r="241" spans="5:9" x14ac:dyDescent="0.25">
      <c r="E241"/>
      <c r="I241" s="1" t="str">
        <f t="shared" si="12"/>
        <v/>
      </c>
    </row>
    <row r="242" spans="5:9" x14ac:dyDescent="0.25">
      <c r="E242"/>
      <c r="I242" s="1" t="str">
        <f t="shared" si="12"/>
        <v/>
      </c>
    </row>
    <row r="243" spans="5:9" x14ac:dyDescent="0.25">
      <c r="E243"/>
      <c r="I243" s="1" t="str">
        <f t="shared" si="12"/>
        <v/>
      </c>
    </row>
    <row r="244" spans="5:9" x14ac:dyDescent="0.25">
      <c r="E244"/>
      <c r="I244" s="1" t="str">
        <f t="shared" si="12"/>
        <v/>
      </c>
    </row>
    <row r="245" spans="5:9" x14ac:dyDescent="0.25">
      <c r="E245"/>
      <c r="I245" s="1" t="str">
        <f t="shared" si="12"/>
        <v/>
      </c>
    </row>
    <row r="246" spans="5:9" x14ac:dyDescent="0.25">
      <c r="E246"/>
      <c r="I246" s="1" t="str">
        <f t="shared" si="12"/>
        <v/>
      </c>
    </row>
    <row r="247" spans="5:9" x14ac:dyDescent="0.25">
      <c r="E247"/>
      <c r="I247" s="1" t="str">
        <f t="shared" si="12"/>
        <v/>
      </c>
    </row>
    <row r="248" spans="5:9" x14ac:dyDescent="0.25">
      <c r="E248"/>
      <c r="I248" s="1" t="str">
        <f t="shared" si="12"/>
        <v/>
      </c>
    </row>
    <row r="249" spans="5:9" x14ac:dyDescent="0.25">
      <c r="E249"/>
      <c r="I249" s="1" t="str">
        <f t="shared" si="12"/>
        <v/>
      </c>
    </row>
    <row r="250" spans="5:9" x14ac:dyDescent="0.25">
      <c r="E250"/>
      <c r="I250" s="1" t="str">
        <f t="shared" si="12"/>
        <v/>
      </c>
    </row>
    <row r="251" spans="5:9" x14ac:dyDescent="0.25">
      <c r="E251"/>
      <c r="I251" s="1" t="str">
        <f t="shared" si="12"/>
        <v/>
      </c>
    </row>
    <row r="252" spans="5:9" x14ac:dyDescent="0.25">
      <c r="E252"/>
      <c r="I252" s="1" t="str">
        <f t="shared" si="12"/>
        <v/>
      </c>
    </row>
    <row r="253" spans="5:9" x14ac:dyDescent="0.25">
      <c r="E253"/>
      <c r="I253" s="1" t="str">
        <f t="shared" si="12"/>
        <v/>
      </c>
    </row>
    <row r="254" spans="5:9" x14ac:dyDescent="0.25">
      <c r="E254"/>
      <c r="I254" s="1" t="str">
        <f t="shared" si="12"/>
        <v/>
      </c>
    </row>
    <row r="255" spans="5:9" x14ac:dyDescent="0.25">
      <c r="E255"/>
      <c r="I255" s="1" t="str">
        <f t="shared" si="12"/>
        <v/>
      </c>
    </row>
    <row r="256" spans="5:9" x14ac:dyDescent="0.25">
      <c r="E256"/>
      <c r="I256" s="1" t="str">
        <f t="shared" si="12"/>
        <v/>
      </c>
    </row>
    <row r="257" spans="5:9" x14ac:dyDescent="0.25">
      <c r="E257"/>
      <c r="I257" s="1" t="str">
        <f t="shared" si="12"/>
        <v/>
      </c>
    </row>
    <row r="258" spans="5:9" x14ac:dyDescent="0.25">
      <c r="E258"/>
      <c r="I258" s="1" t="str">
        <f t="shared" si="12"/>
        <v/>
      </c>
    </row>
    <row r="259" spans="5:9" x14ac:dyDescent="0.25">
      <c r="E259"/>
      <c r="I259" s="1" t="str">
        <f t="shared" si="12"/>
        <v/>
      </c>
    </row>
    <row r="260" spans="5:9" x14ac:dyDescent="0.25">
      <c r="E260"/>
      <c r="I260" s="1" t="str">
        <f t="shared" si="12"/>
        <v/>
      </c>
    </row>
    <row r="261" spans="5:9" x14ac:dyDescent="0.25">
      <c r="E261"/>
      <c r="I261" s="1" t="str">
        <f t="shared" si="12"/>
        <v/>
      </c>
    </row>
    <row r="262" spans="5:9" x14ac:dyDescent="0.25">
      <c r="E262"/>
      <c r="I262" s="1" t="str">
        <f t="shared" si="12"/>
        <v/>
      </c>
    </row>
    <row r="263" spans="5:9" x14ac:dyDescent="0.25">
      <c r="E263"/>
      <c r="I263" s="1" t="str">
        <f t="shared" si="12"/>
        <v/>
      </c>
    </row>
    <row r="264" spans="5:9" x14ac:dyDescent="0.25">
      <c r="E264"/>
      <c r="I264" s="1" t="str">
        <f t="shared" si="12"/>
        <v/>
      </c>
    </row>
    <row r="265" spans="5:9" x14ac:dyDescent="0.25">
      <c r="E265"/>
      <c r="I265" s="1" t="str">
        <f t="shared" si="12"/>
        <v/>
      </c>
    </row>
    <row r="266" spans="5:9" x14ac:dyDescent="0.25">
      <c r="E266"/>
      <c r="I266" s="1" t="str">
        <f t="shared" si="12"/>
        <v/>
      </c>
    </row>
    <row r="267" spans="5:9" x14ac:dyDescent="0.25">
      <c r="E267"/>
    </row>
    <row r="268" spans="5:9" x14ac:dyDescent="0.25">
      <c r="E268"/>
    </row>
    <row r="269" spans="5:9" x14ac:dyDescent="0.25">
      <c r="E269"/>
    </row>
    <row r="270" spans="5:9" x14ac:dyDescent="0.25">
      <c r="E270"/>
    </row>
    <row r="271" spans="5:9" x14ac:dyDescent="0.25">
      <c r="E271"/>
    </row>
    <row r="272" spans="5:9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2:11" x14ac:dyDescent="0.25">
      <c r="E529"/>
    </row>
    <row r="530" spans="2:11" x14ac:dyDescent="0.25">
      <c r="B530" s="1"/>
      <c r="I530" s="1"/>
      <c r="J530" s="1"/>
      <c r="K530" s="1"/>
    </row>
    <row r="531" spans="2:11" x14ac:dyDescent="0.25">
      <c r="B531" s="1"/>
      <c r="I531" s="1"/>
      <c r="J531" s="1"/>
      <c r="K531" s="1"/>
    </row>
    <row r="532" spans="2:11" x14ac:dyDescent="0.25">
      <c r="B532" s="1"/>
      <c r="I532" s="1"/>
      <c r="J532" s="1"/>
      <c r="K532" s="1"/>
    </row>
    <row r="533" spans="2:11" x14ac:dyDescent="0.25">
      <c r="B533" s="1"/>
      <c r="I533" s="1"/>
      <c r="J533" s="1"/>
      <c r="K533" s="1"/>
    </row>
    <row r="534" spans="2:11" x14ac:dyDescent="0.25">
      <c r="B534" s="1"/>
      <c r="I534" s="1"/>
      <c r="J534" s="1"/>
      <c r="K534" s="1"/>
    </row>
    <row r="535" spans="2:11" x14ac:dyDescent="0.25">
      <c r="B535" s="1"/>
      <c r="I535" s="1"/>
      <c r="J535" s="1"/>
      <c r="K535" s="1"/>
    </row>
    <row r="536" spans="2:11" x14ac:dyDescent="0.25">
      <c r="B536" s="1"/>
      <c r="I536" s="1"/>
      <c r="J536" s="1"/>
      <c r="K536" s="1"/>
    </row>
    <row r="537" spans="2:11" x14ac:dyDescent="0.25">
      <c r="B537" s="1"/>
      <c r="I537" s="1"/>
      <c r="J537" s="1"/>
      <c r="K537" s="1"/>
    </row>
    <row r="538" spans="2:11" x14ac:dyDescent="0.25">
      <c r="B538" s="1"/>
      <c r="I538" s="1"/>
      <c r="J538" s="1"/>
      <c r="K538" s="1"/>
    </row>
    <row r="539" spans="2:11" x14ac:dyDescent="0.25">
      <c r="B539" s="1"/>
      <c r="I539" s="1"/>
      <c r="J539" s="1"/>
      <c r="K539" s="1"/>
    </row>
    <row r="540" spans="2:11" x14ac:dyDescent="0.25">
      <c r="B540" s="1"/>
      <c r="I540" s="1"/>
      <c r="J540" s="1"/>
      <c r="K540" s="1"/>
    </row>
    <row r="541" spans="2:11" x14ac:dyDescent="0.25">
      <c r="B541" s="1"/>
      <c r="I541" s="1"/>
      <c r="J541" s="1"/>
      <c r="K541" s="1"/>
    </row>
    <row r="542" spans="2:11" x14ac:dyDescent="0.25">
      <c r="B542" s="1"/>
      <c r="I542" s="1"/>
      <c r="J542" s="1"/>
      <c r="K542" s="1"/>
    </row>
    <row r="543" spans="2:11" x14ac:dyDescent="0.25">
      <c r="B543" s="1"/>
      <c r="I543" s="1"/>
      <c r="J543" s="1"/>
      <c r="K543" s="1"/>
    </row>
    <row r="544" spans="2:11" x14ac:dyDescent="0.25">
      <c r="B544" s="1"/>
      <c r="I544" s="1"/>
      <c r="J544" s="1"/>
      <c r="K544" s="1"/>
    </row>
    <row r="545" spans="2:11" x14ac:dyDescent="0.25">
      <c r="B545" s="1"/>
      <c r="I545" s="1"/>
      <c r="J545" s="1"/>
      <c r="K545" s="1"/>
    </row>
    <row r="546" spans="2:11" x14ac:dyDescent="0.25">
      <c r="B546" s="1"/>
      <c r="I546" s="1"/>
      <c r="J546" s="1"/>
      <c r="K546" s="1"/>
    </row>
    <row r="547" spans="2:11" x14ac:dyDescent="0.25">
      <c r="B547" s="1"/>
      <c r="I547" s="1"/>
      <c r="J547" s="1"/>
      <c r="K547" s="1"/>
    </row>
    <row r="548" spans="2:11" x14ac:dyDescent="0.25">
      <c r="B548" s="1"/>
      <c r="I548" s="1"/>
      <c r="J548" s="1"/>
      <c r="K548" s="1"/>
    </row>
    <row r="549" spans="2:11" x14ac:dyDescent="0.25">
      <c r="B549" s="1"/>
      <c r="I549" s="1"/>
      <c r="J549" s="1"/>
      <c r="K549" s="1"/>
    </row>
    <row r="550" spans="2:11" x14ac:dyDescent="0.25">
      <c r="B550" s="1"/>
      <c r="I550" s="1"/>
      <c r="J550" s="1"/>
      <c r="K550" s="1"/>
    </row>
    <row r="551" spans="2:11" x14ac:dyDescent="0.25">
      <c r="B551" s="1"/>
      <c r="I551" s="1"/>
      <c r="J551" s="1"/>
      <c r="K551" s="1"/>
    </row>
    <row r="552" spans="2:11" x14ac:dyDescent="0.25">
      <c r="B552" s="1"/>
      <c r="I552" s="1"/>
      <c r="J552" s="1"/>
      <c r="K552" s="1"/>
    </row>
    <row r="553" spans="2:11" x14ac:dyDescent="0.25">
      <c r="B553" s="1"/>
      <c r="I553" s="1"/>
      <c r="J553" s="1"/>
      <c r="K553" s="1"/>
    </row>
    <row r="554" spans="2:11" x14ac:dyDescent="0.25">
      <c r="B554" s="1"/>
      <c r="I554" s="1"/>
      <c r="J554" s="1"/>
      <c r="K554" s="1"/>
    </row>
    <row r="555" spans="2:11" x14ac:dyDescent="0.25">
      <c r="B555" s="1"/>
      <c r="I555" s="1"/>
      <c r="J555" s="1"/>
      <c r="K555" s="1"/>
    </row>
    <row r="556" spans="2:11" x14ac:dyDescent="0.25">
      <c r="B556" s="1"/>
      <c r="I556" s="1"/>
      <c r="J556" s="1"/>
      <c r="K556" s="1"/>
    </row>
    <row r="557" spans="2:11" x14ac:dyDescent="0.25">
      <c r="B557" s="1"/>
      <c r="I557" s="1"/>
      <c r="J557" s="1"/>
      <c r="K557" s="1"/>
    </row>
    <row r="558" spans="2:11" x14ac:dyDescent="0.25">
      <c r="B558" s="1"/>
      <c r="I558" s="1"/>
      <c r="J558" s="1"/>
      <c r="K558" s="1"/>
    </row>
    <row r="559" spans="2:11" x14ac:dyDescent="0.25">
      <c r="B559" s="1"/>
      <c r="I559" s="1"/>
      <c r="J559" s="1"/>
      <c r="K559" s="1"/>
    </row>
    <row r="560" spans="2:11" x14ac:dyDescent="0.25">
      <c r="B560" s="1"/>
      <c r="I560" s="1"/>
      <c r="J560" s="1"/>
      <c r="K560" s="1"/>
    </row>
    <row r="561" spans="2:11" x14ac:dyDescent="0.25">
      <c r="B561" s="1"/>
      <c r="I561" s="1"/>
      <c r="J561" s="1"/>
      <c r="K561" s="1"/>
    </row>
    <row r="562" spans="2:11" x14ac:dyDescent="0.25">
      <c r="B562" s="1"/>
      <c r="I562" s="1"/>
      <c r="J562" s="1"/>
      <c r="K562" s="1"/>
    </row>
    <row r="563" spans="2:11" x14ac:dyDescent="0.25">
      <c r="B563" s="1"/>
      <c r="I563" s="1"/>
      <c r="J563" s="1"/>
      <c r="K563" s="1"/>
    </row>
    <row r="564" spans="2:11" x14ac:dyDescent="0.25">
      <c r="B564" s="1"/>
      <c r="I564" s="1"/>
      <c r="J564" s="1"/>
      <c r="K564" s="1"/>
    </row>
    <row r="565" spans="2:11" x14ac:dyDescent="0.25">
      <c r="B565" s="1"/>
      <c r="I565" s="1"/>
      <c r="J565" s="1"/>
      <c r="K565" s="1"/>
    </row>
    <row r="566" spans="2:11" x14ac:dyDescent="0.25">
      <c r="B566" s="1"/>
      <c r="I566" s="1"/>
      <c r="J566" s="1"/>
      <c r="K566" s="1"/>
    </row>
    <row r="567" spans="2:11" x14ac:dyDescent="0.25">
      <c r="B567" s="1"/>
      <c r="I567" s="1"/>
      <c r="J567" s="1"/>
      <c r="K567" s="1"/>
    </row>
    <row r="568" spans="2:11" x14ac:dyDescent="0.25">
      <c r="B568" s="1"/>
      <c r="I568" s="1"/>
      <c r="J568" s="1"/>
      <c r="K568" s="1"/>
    </row>
    <row r="569" spans="2:11" x14ac:dyDescent="0.25">
      <c r="B569" s="1"/>
      <c r="I569" s="1"/>
      <c r="J569" s="1"/>
      <c r="K569" s="1"/>
    </row>
    <row r="570" spans="2:11" x14ac:dyDescent="0.25">
      <c r="B570" s="1"/>
      <c r="I570" s="1"/>
      <c r="J570" s="1"/>
      <c r="K570" s="1"/>
    </row>
    <row r="571" spans="2:11" x14ac:dyDescent="0.25">
      <c r="B571" s="1"/>
      <c r="I571" s="1"/>
      <c r="J571" s="1"/>
      <c r="K571" s="1"/>
    </row>
    <row r="572" spans="2:11" x14ac:dyDescent="0.25">
      <c r="B572" s="1"/>
      <c r="I572" s="1"/>
      <c r="J572" s="1"/>
      <c r="K572" s="1"/>
    </row>
    <row r="573" spans="2:11" x14ac:dyDescent="0.25">
      <c r="B573" s="1"/>
      <c r="I573" s="1"/>
      <c r="J573" s="1"/>
      <c r="K573" s="1"/>
    </row>
    <row r="574" spans="2:11" x14ac:dyDescent="0.25">
      <c r="B574" s="1"/>
      <c r="I574" s="1"/>
      <c r="J574" s="1"/>
      <c r="K574" s="1"/>
    </row>
    <row r="575" spans="2:11" x14ac:dyDescent="0.25">
      <c r="B575" s="1"/>
      <c r="I575" s="1"/>
      <c r="J575" s="1"/>
      <c r="K575" s="1"/>
    </row>
    <row r="576" spans="2:11" x14ac:dyDescent="0.25">
      <c r="B576" s="1"/>
      <c r="I576" s="1"/>
      <c r="J576" s="1"/>
      <c r="K576" s="1"/>
    </row>
    <row r="577" spans="2:11" x14ac:dyDescent="0.25">
      <c r="B577" s="1"/>
      <c r="I577" s="1"/>
      <c r="J577" s="1"/>
      <c r="K577" s="1"/>
    </row>
    <row r="578" spans="2:11" x14ac:dyDescent="0.25">
      <c r="B578" s="1"/>
      <c r="I578" s="1"/>
      <c r="J578" s="1"/>
      <c r="K578" s="1"/>
    </row>
    <row r="579" spans="2:11" x14ac:dyDescent="0.25">
      <c r="B579" s="1"/>
      <c r="I579" s="1"/>
      <c r="J579" s="1"/>
      <c r="K579" s="1"/>
    </row>
    <row r="580" spans="2:11" x14ac:dyDescent="0.25">
      <c r="B580" s="1"/>
      <c r="I580" s="1"/>
      <c r="J580" s="1"/>
      <c r="K580" s="1"/>
    </row>
    <row r="581" spans="2:11" x14ac:dyDescent="0.25">
      <c r="B581" s="1"/>
      <c r="I581" s="1"/>
      <c r="J581" s="1"/>
      <c r="K581" s="1"/>
    </row>
    <row r="582" spans="2:11" x14ac:dyDescent="0.25">
      <c r="B582" s="1"/>
      <c r="I582" s="1"/>
      <c r="J582" s="1"/>
      <c r="K582" s="1"/>
    </row>
    <row r="583" spans="2:11" x14ac:dyDescent="0.25">
      <c r="B583" s="1"/>
      <c r="I583" s="1"/>
      <c r="J583" s="1"/>
      <c r="K583" s="1"/>
    </row>
    <row r="584" spans="2:11" x14ac:dyDescent="0.25">
      <c r="B584" s="1"/>
      <c r="I584" s="1"/>
      <c r="J584" s="1"/>
      <c r="K584" s="1"/>
    </row>
    <row r="585" spans="2:11" x14ac:dyDescent="0.25">
      <c r="B585" s="1"/>
      <c r="I585" s="1"/>
      <c r="J585" s="1"/>
      <c r="K585" s="1"/>
    </row>
    <row r="586" spans="2:11" x14ac:dyDescent="0.25">
      <c r="B586" s="1"/>
      <c r="I586" s="1"/>
      <c r="J586" s="1"/>
      <c r="K586" s="1"/>
    </row>
    <row r="587" spans="2:11" x14ac:dyDescent="0.25">
      <c r="B587" s="1"/>
      <c r="I587" s="1"/>
      <c r="J587" s="1"/>
      <c r="K587" s="1"/>
    </row>
    <row r="588" spans="2:11" x14ac:dyDescent="0.25">
      <c r="B588" s="1"/>
      <c r="I588" s="1"/>
      <c r="J588" s="1"/>
      <c r="K588" s="1"/>
    </row>
    <row r="589" spans="2:11" x14ac:dyDescent="0.25">
      <c r="B589" s="1"/>
      <c r="I589" s="1"/>
      <c r="J589" s="1"/>
      <c r="K589" s="1"/>
    </row>
    <row r="590" spans="2:11" x14ac:dyDescent="0.25">
      <c r="B590" s="1"/>
      <c r="I590" s="1"/>
      <c r="J590" s="1"/>
      <c r="K590" s="1"/>
    </row>
    <row r="591" spans="2:11" x14ac:dyDescent="0.25">
      <c r="B591" s="1"/>
      <c r="I591" s="1"/>
      <c r="J591" s="1"/>
      <c r="K591" s="1"/>
    </row>
    <row r="592" spans="2:11" x14ac:dyDescent="0.25">
      <c r="B592" s="1"/>
      <c r="I592" s="1"/>
      <c r="J592" s="1"/>
      <c r="K592" s="1"/>
    </row>
    <row r="593" spans="2:11" x14ac:dyDescent="0.25">
      <c r="B593" s="1"/>
      <c r="I593" s="1"/>
      <c r="J593" s="1"/>
      <c r="K593" s="1"/>
    </row>
    <row r="594" spans="2:11" x14ac:dyDescent="0.25">
      <c r="B594" s="1"/>
      <c r="I594" s="1"/>
      <c r="J594" s="1"/>
      <c r="K594" s="1"/>
    </row>
    <row r="595" spans="2:11" x14ac:dyDescent="0.25">
      <c r="B595" s="1"/>
      <c r="I595" s="1"/>
      <c r="J595" s="1"/>
      <c r="K595" s="1"/>
    </row>
    <row r="596" spans="2:11" x14ac:dyDescent="0.25">
      <c r="B596" s="1"/>
      <c r="I596" s="1"/>
      <c r="J596" s="1"/>
      <c r="K596" s="1"/>
    </row>
    <row r="597" spans="2:11" x14ac:dyDescent="0.25">
      <c r="B597" s="1"/>
      <c r="I597" s="1"/>
      <c r="J597" s="1"/>
      <c r="K597" s="1"/>
    </row>
    <row r="598" spans="2:11" x14ac:dyDescent="0.25">
      <c r="B598" s="1"/>
      <c r="I598" s="1"/>
      <c r="J598" s="1"/>
      <c r="K598" s="1"/>
    </row>
    <row r="599" spans="2:11" x14ac:dyDescent="0.25">
      <c r="B599" s="1"/>
      <c r="I599" s="1"/>
      <c r="J599" s="1"/>
      <c r="K599" s="1"/>
    </row>
    <row r="600" spans="2:11" x14ac:dyDescent="0.25">
      <c r="B600" s="1"/>
      <c r="I600" s="1"/>
      <c r="J600" s="1"/>
      <c r="K600" s="1"/>
    </row>
    <row r="601" spans="2:11" x14ac:dyDescent="0.25">
      <c r="B601" s="1"/>
      <c r="I601" s="1"/>
      <c r="J601" s="1"/>
      <c r="K601" s="1"/>
    </row>
    <row r="602" spans="2:11" x14ac:dyDescent="0.25">
      <c r="B602" s="1"/>
      <c r="I602" s="1"/>
      <c r="J602" s="1"/>
      <c r="K602" s="1"/>
    </row>
    <row r="603" spans="2:11" x14ac:dyDescent="0.25">
      <c r="B603" s="1"/>
      <c r="I603" s="1"/>
      <c r="J603" s="1"/>
      <c r="K603" s="1"/>
    </row>
    <row r="604" spans="2:11" x14ac:dyDescent="0.25">
      <c r="B604" s="1"/>
      <c r="I604" s="1"/>
      <c r="J604" s="1"/>
      <c r="K604" s="1"/>
    </row>
    <row r="605" spans="2:11" x14ac:dyDescent="0.25">
      <c r="B605" s="1"/>
      <c r="I605" s="1"/>
      <c r="J605" s="1"/>
      <c r="K605" s="1"/>
    </row>
    <row r="606" spans="2:11" x14ac:dyDescent="0.25">
      <c r="B606" s="1"/>
      <c r="I606" s="1"/>
      <c r="J606" s="1"/>
      <c r="K606" s="1"/>
    </row>
    <row r="607" spans="2:11" x14ac:dyDescent="0.25">
      <c r="B607" s="1"/>
      <c r="I607" s="1"/>
      <c r="J607" s="1"/>
      <c r="K607" s="1"/>
    </row>
    <row r="608" spans="2:11" x14ac:dyDescent="0.25">
      <c r="B608" s="1"/>
      <c r="I608" s="1"/>
      <c r="J608" s="1"/>
      <c r="K608" s="1"/>
    </row>
    <row r="609" spans="2:11" x14ac:dyDescent="0.25">
      <c r="B609" s="1"/>
      <c r="I609" s="1"/>
      <c r="J609" s="1"/>
      <c r="K609" s="1"/>
    </row>
    <row r="610" spans="2:11" x14ac:dyDescent="0.25">
      <c r="B610" s="1"/>
      <c r="I610" s="1"/>
      <c r="J610" s="1"/>
      <c r="K610" s="1"/>
    </row>
    <row r="611" spans="2:11" x14ac:dyDescent="0.25">
      <c r="B611" s="1"/>
      <c r="I611" s="1"/>
      <c r="J611" s="1"/>
      <c r="K611" s="1"/>
    </row>
    <row r="612" spans="2:11" x14ac:dyDescent="0.25">
      <c r="B612" s="1"/>
      <c r="I612" s="1"/>
      <c r="J612" s="1"/>
      <c r="K612" s="1"/>
    </row>
    <row r="613" spans="2:11" x14ac:dyDescent="0.25">
      <c r="B613" s="1"/>
      <c r="I613" s="1"/>
      <c r="J613" s="1"/>
      <c r="K613" s="1"/>
    </row>
    <row r="614" spans="2:11" x14ac:dyDescent="0.25">
      <c r="B614" s="1"/>
      <c r="I614" s="1"/>
      <c r="J614" s="1"/>
      <c r="K614" s="1"/>
    </row>
    <row r="615" spans="2:11" x14ac:dyDescent="0.25">
      <c r="B615" s="1"/>
      <c r="I615" s="1"/>
      <c r="J615" s="1"/>
      <c r="K615" s="1"/>
    </row>
    <row r="616" spans="2:11" x14ac:dyDescent="0.25">
      <c r="B616" s="1"/>
      <c r="I616" s="1"/>
      <c r="J616" s="1"/>
      <c r="K616" s="1"/>
    </row>
    <row r="617" spans="2:11" x14ac:dyDescent="0.25">
      <c r="B617" s="1"/>
      <c r="I617" s="1"/>
      <c r="J617" s="1"/>
      <c r="K617" s="1"/>
    </row>
    <row r="618" spans="2:11" x14ac:dyDescent="0.25">
      <c r="B618" s="1"/>
      <c r="I618" s="1"/>
      <c r="J618" s="1"/>
      <c r="K618" s="1"/>
    </row>
    <row r="619" spans="2:11" x14ac:dyDescent="0.25">
      <c r="B619" s="1"/>
      <c r="I619" s="1"/>
      <c r="J619" s="1"/>
      <c r="K619" s="1"/>
    </row>
    <row r="620" spans="2:11" x14ac:dyDescent="0.25">
      <c r="B620" s="1"/>
      <c r="I620" s="1"/>
      <c r="J620" s="1"/>
      <c r="K620" s="1"/>
    </row>
    <row r="621" spans="2:11" x14ac:dyDescent="0.25">
      <c r="B621" s="1"/>
      <c r="I621" s="1"/>
      <c r="J621" s="1"/>
      <c r="K621" s="1"/>
    </row>
    <row r="622" spans="2:11" x14ac:dyDescent="0.25">
      <c r="B622" s="1"/>
      <c r="I622" s="1"/>
      <c r="J622" s="1"/>
      <c r="K622" s="1"/>
    </row>
    <row r="623" spans="2:11" x14ac:dyDescent="0.25">
      <c r="B623" s="1"/>
      <c r="I623" s="1"/>
      <c r="J623" s="1"/>
      <c r="K623" s="1"/>
    </row>
    <row r="624" spans="2:11" x14ac:dyDescent="0.25">
      <c r="B624" s="1"/>
      <c r="I624" s="1"/>
      <c r="J624" s="1"/>
      <c r="K624" s="1"/>
    </row>
    <row r="625" spans="2:11" x14ac:dyDescent="0.25">
      <c r="B625" s="1"/>
      <c r="I625" s="1"/>
      <c r="J625" s="1"/>
      <c r="K625" s="1"/>
    </row>
    <row r="626" spans="2:11" x14ac:dyDescent="0.25">
      <c r="B626" s="1"/>
      <c r="I626" s="1"/>
      <c r="J626" s="1"/>
      <c r="K626" s="1"/>
    </row>
    <row r="627" spans="2:11" x14ac:dyDescent="0.25">
      <c r="B627" s="1"/>
      <c r="I627" s="1"/>
      <c r="J627" s="1"/>
      <c r="K627" s="1"/>
    </row>
    <row r="628" spans="2:11" x14ac:dyDescent="0.25">
      <c r="B628" s="1"/>
      <c r="I628" s="1"/>
      <c r="J628" s="1"/>
      <c r="K628" s="1"/>
    </row>
    <row r="629" spans="2:11" x14ac:dyDescent="0.25">
      <c r="B629" s="1"/>
      <c r="I629" s="1"/>
      <c r="J629" s="1"/>
      <c r="K629" s="1"/>
    </row>
    <row r="630" spans="2:11" x14ac:dyDescent="0.25">
      <c r="B630" s="1"/>
      <c r="I630" s="1"/>
      <c r="J630" s="1"/>
      <c r="K630" s="1"/>
    </row>
    <row r="631" spans="2:11" x14ac:dyDescent="0.25">
      <c r="B631" s="1"/>
      <c r="I631" s="1"/>
      <c r="J631" s="1"/>
      <c r="K631" s="1"/>
    </row>
    <row r="632" spans="2:11" x14ac:dyDescent="0.25">
      <c r="B632" s="1"/>
      <c r="I632" s="1"/>
      <c r="J632" s="1"/>
      <c r="K632" s="1"/>
    </row>
    <row r="633" spans="2:11" x14ac:dyDescent="0.25">
      <c r="B633" s="1"/>
      <c r="I633" s="1"/>
      <c r="J633" s="1"/>
      <c r="K633" s="1"/>
    </row>
    <row r="634" spans="2:11" x14ac:dyDescent="0.25">
      <c r="B634" s="1"/>
      <c r="I634" s="1"/>
      <c r="J634" s="1"/>
      <c r="K634" s="1"/>
    </row>
    <row r="635" spans="2:11" x14ac:dyDescent="0.25">
      <c r="B635" s="1"/>
      <c r="I635" s="1"/>
      <c r="J635" s="1"/>
      <c r="K635" s="1"/>
    </row>
    <row r="636" spans="2:11" x14ac:dyDescent="0.25">
      <c r="B636" s="1"/>
      <c r="I636" s="1"/>
      <c r="J636" s="1"/>
      <c r="K636" s="1"/>
    </row>
    <row r="637" spans="2:11" x14ac:dyDescent="0.25">
      <c r="B637" s="1"/>
      <c r="I637" s="1"/>
      <c r="J637" s="1"/>
      <c r="K637" s="1"/>
    </row>
    <row r="638" spans="2:11" x14ac:dyDescent="0.25">
      <c r="B638" s="1"/>
      <c r="I638" s="1"/>
      <c r="J638" s="1"/>
      <c r="K638" s="1"/>
    </row>
    <row r="639" spans="2:11" x14ac:dyDescent="0.25">
      <c r="B639" s="1"/>
      <c r="I639" s="1"/>
      <c r="J639" s="1"/>
      <c r="K639" s="1"/>
    </row>
    <row r="640" spans="2:11" x14ac:dyDescent="0.25">
      <c r="B640" s="1"/>
      <c r="I640" s="1"/>
      <c r="J640" s="1"/>
      <c r="K640" s="1"/>
    </row>
    <row r="641" spans="2:11" x14ac:dyDescent="0.25">
      <c r="B641" s="1"/>
      <c r="I641" s="1"/>
      <c r="J641" s="1"/>
      <c r="K641" s="1"/>
    </row>
    <row r="642" spans="2:11" x14ac:dyDescent="0.25">
      <c r="B642" s="1"/>
      <c r="I642" s="1"/>
      <c r="J642" s="1"/>
      <c r="K642" s="1"/>
    </row>
    <row r="643" spans="2:11" x14ac:dyDescent="0.25">
      <c r="B643" s="1"/>
      <c r="I643" s="1"/>
      <c r="J643" s="1"/>
      <c r="K643" s="1"/>
    </row>
    <row r="644" spans="2:11" x14ac:dyDescent="0.25">
      <c r="B644" s="1"/>
      <c r="I644" s="1"/>
      <c r="J644" s="1"/>
      <c r="K644" s="1"/>
    </row>
    <row r="645" spans="2:11" x14ac:dyDescent="0.25">
      <c r="B645" s="1"/>
      <c r="I645" s="1"/>
      <c r="J645" s="1"/>
      <c r="K645" s="1"/>
    </row>
    <row r="646" spans="2:11" x14ac:dyDescent="0.25">
      <c r="B646" s="1"/>
      <c r="I646" s="1"/>
      <c r="J646" s="1"/>
      <c r="K646" s="1"/>
    </row>
    <row r="647" spans="2:11" x14ac:dyDescent="0.25">
      <c r="B647" s="1"/>
      <c r="I647" s="1"/>
      <c r="J647" s="1"/>
      <c r="K647" s="1"/>
    </row>
    <row r="648" spans="2:11" x14ac:dyDescent="0.25">
      <c r="B648" s="1"/>
      <c r="I648" s="1"/>
      <c r="J648" s="1"/>
      <c r="K648" s="1"/>
    </row>
    <row r="649" spans="2:11" x14ac:dyDescent="0.25">
      <c r="B649" s="1"/>
      <c r="I649" s="1"/>
      <c r="J649" s="1"/>
      <c r="K649" s="1"/>
    </row>
    <row r="650" spans="2:11" x14ac:dyDescent="0.25">
      <c r="B650" s="1"/>
      <c r="I650" s="1"/>
      <c r="J650" s="1"/>
      <c r="K650" s="1"/>
    </row>
    <row r="651" spans="2:11" x14ac:dyDescent="0.25">
      <c r="B651" s="1"/>
      <c r="I651" s="1"/>
      <c r="J651" s="1"/>
      <c r="K651" s="1"/>
    </row>
    <row r="652" spans="2:11" x14ac:dyDescent="0.25">
      <c r="B652" s="1"/>
      <c r="I652" s="1"/>
      <c r="J652" s="1"/>
      <c r="K652" s="1"/>
    </row>
    <row r="653" spans="2:11" x14ac:dyDescent="0.25">
      <c r="B653" s="1"/>
      <c r="I653" s="1"/>
      <c r="J653" s="1"/>
      <c r="K653" s="1"/>
    </row>
    <row r="654" spans="2:11" x14ac:dyDescent="0.25">
      <c r="B654" s="1"/>
      <c r="I654" s="1"/>
      <c r="J654" s="1"/>
      <c r="K654" s="1"/>
    </row>
    <row r="655" spans="2:11" x14ac:dyDescent="0.25">
      <c r="B655" s="1"/>
      <c r="I655" s="1"/>
      <c r="J655" s="1"/>
      <c r="K655" s="1"/>
    </row>
    <row r="656" spans="2:11" x14ac:dyDescent="0.25">
      <c r="B656" s="1"/>
      <c r="I656" s="1"/>
      <c r="J656" s="1"/>
      <c r="K656" s="1"/>
    </row>
    <row r="657" spans="2:11" x14ac:dyDescent="0.25">
      <c r="B657" s="1"/>
      <c r="I657" s="1"/>
      <c r="J657" s="1"/>
      <c r="K657" s="1"/>
    </row>
    <row r="658" spans="2:11" x14ac:dyDescent="0.25">
      <c r="B658" s="1"/>
      <c r="I658" s="1"/>
      <c r="J658" s="1"/>
      <c r="K658" s="1"/>
    </row>
    <row r="659" spans="2:11" x14ac:dyDescent="0.25">
      <c r="B659" s="1"/>
      <c r="I659" s="1"/>
      <c r="J659" s="1"/>
      <c r="K659" s="1"/>
    </row>
    <row r="660" spans="2:11" x14ac:dyDescent="0.25">
      <c r="B660" s="1"/>
      <c r="I660" s="1"/>
      <c r="J660" s="1"/>
      <c r="K660" s="1"/>
    </row>
    <row r="661" spans="2:11" x14ac:dyDescent="0.25">
      <c r="B661" s="1"/>
      <c r="I661" s="1"/>
      <c r="J661" s="1"/>
      <c r="K661" s="1"/>
    </row>
    <row r="662" spans="2:11" x14ac:dyDescent="0.25">
      <c r="B662" s="1"/>
      <c r="I662" s="1"/>
      <c r="J662" s="1"/>
      <c r="K662" s="1"/>
    </row>
    <row r="663" spans="2:11" x14ac:dyDescent="0.25">
      <c r="B663" s="1"/>
      <c r="I663" s="1"/>
      <c r="J663" s="1"/>
      <c r="K663" s="1"/>
    </row>
    <row r="664" spans="2:11" x14ac:dyDescent="0.25">
      <c r="B664" s="1"/>
      <c r="I664" s="1"/>
      <c r="J664" s="1"/>
      <c r="K664" s="1"/>
    </row>
    <row r="665" spans="2:11" x14ac:dyDescent="0.25">
      <c r="B665" s="1"/>
      <c r="I665" s="1"/>
      <c r="J665" s="1"/>
      <c r="K665" s="1"/>
    </row>
    <row r="666" spans="2:11" x14ac:dyDescent="0.25">
      <c r="B666" s="1"/>
      <c r="I666" s="1"/>
      <c r="J666" s="1"/>
      <c r="K666" s="1"/>
    </row>
    <row r="667" spans="2:11" x14ac:dyDescent="0.25">
      <c r="B667" s="1"/>
      <c r="I667" s="1"/>
      <c r="J667" s="1"/>
      <c r="K667" s="1"/>
    </row>
    <row r="668" spans="2:11" x14ac:dyDescent="0.25">
      <c r="B668" s="1"/>
      <c r="I668" s="1"/>
      <c r="J668" s="1"/>
      <c r="K668" s="1"/>
    </row>
    <row r="669" spans="2:11" x14ac:dyDescent="0.25">
      <c r="B669" s="1"/>
      <c r="I669" s="1"/>
      <c r="J669" s="1"/>
      <c r="K669" s="1"/>
    </row>
    <row r="670" spans="2:11" x14ac:dyDescent="0.25">
      <c r="B670" s="1"/>
      <c r="I670" s="1"/>
      <c r="J670" s="1"/>
      <c r="K670" s="1"/>
    </row>
    <row r="671" spans="2:11" x14ac:dyDescent="0.25">
      <c r="B671" s="1"/>
      <c r="I671" s="1"/>
      <c r="J671" s="1"/>
      <c r="K671" s="1"/>
    </row>
    <row r="672" spans="2:11" x14ac:dyDescent="0.25">
      <c r="B672" s="1"/>
      <c r="I672" s="1"/>
      <c r="J672" s="1"/>
      <c r="K672" s="1"/>
    </row>
    <row r="673" spans="2:11" x14ac:dyDescent="0.25">
      <c r="B673" s="1"/>
      <c r="I673" s="1"/>
      <c r="J673" s="1"/>
      <c r="K673" s="1"/>
    </row>
    <row r="674" spans="2:11" x14ac:dyDescent="0.25">
      <c r="B674" s="1"/>
      <c r="I674" s="1"/>
      <c r="J674" s="1"/>
      <c r="K674" s="1"/>
    </row>
    <row r="675" spans="2:11" x14ac:dyDescent="0.25">
      <c r="B675" s="1"/>
      <c r="I675" s="1"/>
      <c r="J675" s="1"/>
      <c r="K675" s="1"/>
    </row>
    <row r="676" spans="2:11" x14ac:dyDescent="0.25">
      <c r="B676" s="1"/>
      <c r="I676" s="1"/>
      <c r="J676" s="1"/>
      <c r="K676" s="1"/>
    </row>
    <row r="677" spans="2:11" x14ac:dyDescent="0.25">
      <c r="B677" s="1"/>
      <c r="I677" s="1"/>
      <c r="J677" s="1"/>
      <c r="K677" s="1"/>
    </row>
    <row r="678" spans="2:11" x14ac:dyDescent="0.25">
      <c r="B678" s="1"/>
      <c r="I678" s="1"/>
      <c r="J678" s="1"/>
      <c r="K678" s="1"/>
    </row>
    <row r="679" spans="2:11" x14ac:dyDescent="0.25">
      <c r="I679" s="1"/>
      <c r="J679" s="1"/>
      <c r="K679" s="1"/>
    </row>
    <row r="680" spans="2:11" x14ac:dyDescent="0.25">
      <c r="I680" s="1"/>
      <c r="J680" s="1"/>
      <c r="K680" s="1"/>
    </row>
    <row r="681" spans="2:11" x14ac:dyDescent="0.25">
      <c r="I681" s="1"/>
      <c r="J681" s="1"/>
      <c r="K681" s="1"/>
    </row>
    <row r="682" spans="2:11" x14ac:dyDescent="0.25">
      <c r="I682" s="1"/>
      <c r="J682" s="1"/>
      <c r="K682" s="1"/>
    </row>
    <row r="683" spans="2:11" x14ac:dyDescent="0.25">
      <c r="I683" s="1"/>
      <c r="J683" s="1"/>
      <c r="K683" s="1"/>
    </row>
    <row r="684" spans="2:11" x14ac:dyDescent="0.25">
      <c r="I684" s="1"/>
      <c r="J684" s="1"/>
      <c r="K684" s="1"/>
    </row>
    <row r="685" spans="2:11" x14ac:dyDescent="0.25">
      <c r="I685" s="1"/>
      <c r="J685" s="1"/>
      <c r="K685" s="1"/>
    </row>
    <row r="686" spans="2:11" x14ac:dyDescent="0.25">
      <c r="I686" s="1"/>
      <c r="J686" s="1"/>
      <c r="K686" s="1"/>
    </row>
    <row r="687" spans="2:11" x14ac:dyDescent="0.25">
      <c r="I687" s="1"/>
      <c r="J687" s="1"/>
      <c r="K687" s="1"/>
    </row>
    <row r="688" spans="2:11" x14ac:dyDescent="0.25">
      <c r="I688" s="1"/>
      <c r="J688" s="1"/>
      <c r="K688" s="1"/>
    </row>
    <row r="689" spans="9:11" x14ac:dyDescent="0.25">
      <c r="I689" s="1"/>
      <c r="J689" s="1"/>
      <c r="K689" s="1"/>
    </row>
    <row r="690" spans="9:11" x14ac:dyDescent="0.25">
      <c r="I690" s="1"/>
      <c r="J690" s="1"/>
      <c r="K690" s="1"/>
    </row>
    <row r="691" spans="9:11" x14ac:dyDescent="0.25">
      <c r="I691" s="1"/>
      <c r="J691" s="1"/>
      <c r="K691" s="1"/>
    </row>
    <row r="692" spans="9:11" x14ac:dyDescent="0.25">
      <c r="I692" s="1"/>
      <c r="J692" s="1"/>
      <c r="K692" s="1"/>
    </row>
    <row r="693" spans="9:11" x14ac:dyDescent="0.25">
      <c r="I693" s="1"/>
      <c r="J693" s="1"/>
      <c r="K693" s="1"/>
    </row>
    <row r="694" spans="9:11" x14ac:dyDescent="0.25">
      <c r="I694" s="1"/>
      <c r="J694" s="1"/>
      <c r="K694" s="1"/>
    </row>
    <row r="695" spans="9:11" x14ac:dyDescent="0.25">
      <c r="I695" s="1"/>
      <c r="J695" s="1"/>
      <c r="K695" s="1"/>
    </row>
    <row r="696" spans="9:11" x14ac:dyDescent="0.25">
      <c r="I696" s="1"/>
      <c r="J696" s="1"/>
      <c r="K696" s="1"/>
    </row>
    <row r="697" spans="9:11" x14ac:dyDescent="0.25">
      <c r="I697" s="1"/>
      <c r="J697" s="1"/>
      <c r="K697" s="1"/>
    </row>
    <row r="698" spans="9:11" x14ac:dyDescent="0.25">
      <c r="I698" s="1"/>
      <c r="J698" s="1"/>
      <c r="K698" s="1"/>
    </row>
    <row r="699" spans="9:11" x14ac:dyDescent="0.25">
      <c r="I699" s="1"/>
      <c r="J699" s="1"/>
      <c r="K699" s="1"/>
    </row>
    <row r="700" spans="9:11" x14ac:dyDescent="0.25">
      <c r="I700" s="1"/>
      <c r="J700" s="1"/>
      <c r="K700" s="1"/>
    </row>
    <row r="701" spans="9:11" x14ac:dyDescent="0.25">
      <c r="I701" s="1"/>
      <c r="J701" s="1"/>
      <c r="K701" s="1"/>
    </row>
    <row r="702" spans="9:11" x14ac:dyDescent="0.25">
      <c r="I702" s="1"/>
      <c r="J702" s="1"/>
      <c r="K702" s="1"/>
    </row>
    <row r="703" spans="9:11" x14ac:dyDescent="0.25">
      <c r="I703" s="1"/>
      <c r="J703" s="1"/>
      <c r="K703" s="1"/>
    </row>
    <row r="704" spans="9:11" x14ac:dyDescent="0.25">
      <c r="I704" s="1"/>
      <c r="J704" s="1"/>
      <c r="K704" s="1"/>
    </row>
    <row r="705" spans="9:11" x14ac:dyDescent="0.25">
      <c r="I705" s="1"/>
      <c r="J705" s="1"/>
      <c r="K705" s="1"/>
    </row>
    <row r="706" spans="9:11" x14ac:dyDescent="0.25">
      <c r="I706" s="1"/>
      <c r="J706" s="1"/>
      <c r="K706" s="1"/>
    </row>
    <row r="707" spans="9:11" x14ac:dyDescent="0.25">
      <c r="I707" s="1"/>
      <c r="J707" s="1"/>
      <c r="K707" s="1"/>
    </row>
    <row r="708" spans="9:11" x14ac:dyDescent="0.25">
      <c r="I708" s="1"/>
      <c r="J708" s="1"/>
      <c r="K708" s="1"/>
    </row>
    <row r="709" spans="9:11" x14ac:dyDescent="0.25">
      <c r="I709" s="1"/>
      <c r="J709" s="1"/>
      <c r="K709" s="1"/>
    </row>
    <row r="710" spans="9:11" x14ac:dyDescent="0.25">
      <c r="I710" s="1"/>
      <c r="J710" s="1"/>
      <c r="K710" s="1"/>
    </row>
    <row r="711" spans="9:11" x14ac:dyDescent="0.25">
      <c r="I711" s="1"/>
      <c r="J711" s="1"/>
      <c r="K711" s="1"/>
    </row>
    <row r="712" spans="9:11" x14ac:dyDescent="0.25">
      <c r="I712" s="1"/>
      <c r="J712" s="1"/>
      <c r="K712" s="1"/>
    </row>
    <row r="713" spans="9:11" x14ac:dyDescent="0.25">
      <c r="I713" s="1"/>
      <c r="J713" s="1"/>
      <c r="K713" s="1"/>
    </row>
    <row r="714" spans="9:11" x14ac:dyDescent="0.25">
      <c r="I714" s="1"/>
      <c r="J714" s="1"/>
      <c r="K714" s="1"/>
    </row>
    <row r="715" spans="9:11" x14ac:dyDescent="0.25">
      <c r="I715" s="1"/>
      <c r="J715" s="1"/>
      <c r="K715" s="1"/>
    </row>
    <row r="716" spans="9:11" x14ac:dyDescent="0.25">
      <c r="I716" s="1"/>
      <c r="J716" s="1"/>
      <c r="K716" s="1"/>
    </row>
    <row r="717" spans="9:11" x14ac:dyDescent="0.25">
      <c r="I717" s="1"/>
      <c r="J717" s="1"/>
      <c r="K717" s="1"/>
    </row>
    <row r="718" spans="9:11" x14ac:dyDescent="0.25">
      <c r="I718" s="1"/>
      <c r="J718" s="1"/>
      <c r="K718" s="1"/>
    </row>
    <row r="719" spans="9:11" x14ac:dyDescent="0.25">
      <c r="I719" s="1"/>
      <c r="J719" s="1"/>
      <c r="K719" s="1"/>
    </row>
    <row r="720" spans="9:11" x14ac:dyDescent="0.25">
      <c r="I720" s="1"/>
      <c r="J720" s="1"/>
      <c r="K720" s="1"/>
    </row>
    <row r="721" spans="9:11" x14ac:dyDescent="0.25">
      <c r="I721" s="1"/>
      <c r="J721" s="1"/>
      <c r="K721" s="1"/>
    </row>
    <row r="722" spans="9:11" x14ac:dyDescent="0.25">
      <c r="I722" s="1"/>
      <c r="J722" s="1"/>
      <c r="K722" s="1"/>
    </row>
    <row r="723" spans="9:11" x14ac:dyDescent="0.25">
      <c r="I723" s="1"/>
      <c r="J723" s="1"/>
      <c r="K723" s="1"/>
    </row>
    <row r="724" spans="9:11" x14ac:dyDescent="0.25">
      <c r="I724" s="1"/>
      <c r="J724" s="1"/>
      <c r="K724" s="1"/>
    </row>
    <row r="725" spans="9:11" x14ac:dyDescent="0.25">
      <c r="I725" s="1"/>
      <c r="J725" s="1"/>
      <c r="K725" s="1"/>
    </row>
    <row r="726" spans="9:11" x14ac:dyDescent="0.25">
      <c r="I726" s="1"/>
      <c r="J726" s="1"/>
      <c r="K726" s="1"/>
    </row>
    <row r="727" spans="9:11" x14ac:dyDescent="0.25">
      <c r="I727" s="1"/>
      <c r="J727" s="1"/>
      <c r="K727" s="1"/>
    </row>
    <row r="728" spans="9:11" x14ac:dyDescent="0.25">
      <c r="I728" s="1"/>
      <c r="J728" s="1"/>
      <c r="K728" s="1"/>
    </row>
    <row r="729" spans="9:11" x14ac:dyDescent="0.25">
      <c r="I729" s="1"/>
      <c r="J729" s="1"/>
      <c r="K729" s="1"/>
    </row>
    <row r="730" spans="9:11" x14ac:dyDescent="0.25">
      <c r="I730" s="1"/>
      <c r="J730" s="1"/>
      <c r="K730" s="1"/>
    </row>
    <row r="731" spans="9:11" x14ac:dyDescent="0.25">
      <c r="I731" s="1"/>
      <c r="J731" s="1"/>
      <c r="K731" s="1"/>
    </row>
    <row r="732" spans="9:11" x14ac:dyDescent="0.25">
      <c r="I732" s="1"/>
      <c r="J732" s="1"/>
      <c r="K732" s="1"/>
    </row>
    <row r="733" spans="9:11" x14ac:dyDescent="0.25">
      <c r="I733" s="1"/>
      <c r="J733" s="1"/>
      <c r="K733" s="1"/>
    </row>
    <row r="734" spans="9:11" x14ac:dyDescent="0.25">
      <c r="I734" s="1"/>
      <c r="J734" s="1"/>
      <c r="K734" s="1"/>
    </row>
    <row r="735" spans="9:11" x14ac:dyDescent="0.25">
      <c r="I735" s="1"/>
      <c r="J735" s="1"/>
      <c r="K735" s="1"/>
    </row>
    <row r="736" spans="9:11" x14ac:dyDescent="0.25">
      <c r="I736" s="1"/>
      <c r="J736" s="1"/>
      <c r="K736" s="1"/>
    </row>
    <row r="737" spans="9:11" x14ac:dyDescent="0.25">
      <c r="I737" s="1"/>
      <c r="J737" s="1"/>
      <c r="K737" s="1"/>
    </row>
    <row r="738" spans="9:11" x14ac:dyDescent="0.25">
      <c r="I738" s="1"/>
      <c r="J738" s="1"/>
      <c r="K738" s="1"/>
    </row>
    <row r="739" spans="9:11" x14ac:dyDescent="0.25">
      <c r="I739" s="1"/>
      <c r="J739" s="1"/>
      <c r="K739" s="1"/>
    </row>
    <row r="740" spans="9:11" x14ac:dyDescent="0.25">
      <c r="I740" s="1"/>
      <c r="J740" s="1"/>
      <c r="K740" s="1"/>
    </row>
    <row r="741" spans="9:11" x14ac:dyDescent="0.25">
      <c r="I741" s="1"/>
      <c r="J741" s="1"/>
      <c r="K741" s="1"/>
    </row>
    <row r="742" spans="9:11" x14ac:dyDescent="0.25">
      <c r="I742" s="1"/>
      <c r="J742" s="1"/>
      <c r="K742" s="1"/>
    </row>
    <row r="743" spans="9:11" x14ac:dyDescent="0.25">
      <c r="I743" s="1"/>
      <c r="J743" s="1"/>
      <c r="K743" s="1"/>
    </row>
    <row r="744" spans="9:11" x14ac:dyDescent="0.25">
      <c r="I744" s="1"/>
      <c r="J744" s="1"/>
      <c r="K744" s="1"/>
    </row>
    <row r="745" spans="9:11" x14ac:dyDescent="0.25">
      <c r="I745" s="1"/>
      <c r="J745" s="1"/>
      <c r="K745" s="1"/>
    </row>
    <row r="746" spans="9:11" x14ac:dyDescent="0.25">
      <c r="I746" s="1"/>
      <c r="J746" s="1"/>
      <c r="K746" s="1"/>
    </row>
    <row r="747" spans="9:11" x14ac:dyDescent="0.25">
      <c r="I747" s="1"/>
      <c r="J747" s="1"/>
      <c r="K747" s="1"/>
    </row>
    <row r="748" spans="9:11" x14ac:dyDescent="0.25">
      <c r="I748" s="1"/>
      <c r="J748" s="1"/>
      <c r="K748" s="1"/>
    </row>
    <row r="749" spans="9:11" x14ac:dyDescent="0.25">
      <c r="I749" s="1"/>
      <c r="J749" s="1"/>
      <c r="K749" s="1"/>
    </row>
    <row r="750" spans="9:11" x14ac:dyDescent="0.25">
      <c r="I750" s="1"/>
      <c r="J750" s="1"/>
      <c r="K750" s="1"/>
    </row>
    <row r="751" spans="9:11" x14ac:dyDescent="0.25">
      <c r="I751" s="1"/>
      <c r="J751" s="1"/>
      <c r="K751" s="1"/>
    </row>
    <row r="752" spans="9:11" x14ac:dyDescent="0.25">
      <c r="I752" s="1"/>
      <c r="J752" s="1"/>
      <c r="K752" s="1"/>
    </row>
    <row r="753" spans="9:11" x14ac:dyDescent="0.25">
      <c r="I753" s="1"/>
      <c r="J753" s="1"/>
      <c r="K753" s="1"/>
    </row>
    <row r="754" spans="9:11" x14ac:dyDescent="0.25">
      <c r="I754" s="1"/>
      <c r="J754" s="1"/>
      <c r="K754" s="1"/>
    </row>
    <row r="755" spans="9:11" x14ac:dyDescent="0.25">
      <c r="I755" s="1"/>
      <c r="J755" s="1"/>
      <c r="K755" s="1"/>
    </row>
    <row r="756" spans="9:11" x14ac:dyDescent="0.25">
      <c r="I756" s="1"/>
      <c r="J756" s="1"/>
      <c r="K756" s="1"/>
    </row>
    <row r="757" spans="9:11" x14ac:dyDescent="0.25">
      <c r="I757" s="1"/>
      <c r="J757" s="1"/>
      <c r="K757" s="1"/>
    </row>
    <row r="758" spans="9:11" x14ac:dyDescent="0.25">
      <c r="I758" s="1"/>
      <c r="J758" s="1"/>
      <c r="K758" s="1"/>
    </row>
    <row r="759" spans="9:11" x14ac:dyDescent="0.25">
      <c r="I759" s="1"/>
      <c r="J759" s="1"/>
      <c r="K759" s="1"/>
    </row>
    <row r="760" spans="9:11" x14ac:dyDescent="0.25">
      <c r="I760" s="1"/>
      <c r="J760" s="1"/>
      <c r="K760" s="1"/>
    </row>
    <row r="761" spans="9:11" x14ac:dyDescent="0.25">
      <c r="I761" s="1"/>
      <c r="J761" s="1"/>
      <c r="K761" s="1"/>
    </row>
    <row r="762" spans="9:11" x14ac:dyDescent="0.25">
      <c r="I762" s="1"/>
      <c r="J762" s="1"/>
      <c r="K762" s="1"/>
    </row>
    <row r="763" spans="9:11" x14ac:dyDescent="0.25">
      <c r="I763" s="1"/>
      <c r="J763" s="1"/>
      <c r="K763" s="1"/>
    </row>
    <row r="764" spans="9:11" x14ac:dyDescent="0.25">
      <c r="I764" s="1"/>
      <c r="J764" s="1"/>
      <c r="K764" s="1"/>
    </row>
    <row r="765" spans="9:11" x14ac:dyDescent="0.25">
      <c r="I765" s="1"/>
      <c r="J765" s="1"/>
      <c r="K765" s="1"/>
    </row>
    <row r="766" spans="9:11" x14ac:dyDescent="0.25">
      <c r="I766" s="1"/>
      <c r="J766" s="1"/>
      <c r="K766" s="1"/>
    </row>
    <row r="767" spans="9:11" x14ac:dyDescent="0.25">
      <c r="I767" s="1"/>
      <c r="J767" s="1"/>
      <c r="K767" s="1"/>
    </row>
    <row r="768" spans="9:11" x14ac:dyDescent="0.25">
      <c r="I768" s="1"/>
      <c r="J768" s="1"/>
      <c r="K768" s="1"/>
    </row>
    <row r="769" spans="9:11" x14ac:dyDescent="0.25">
      <c r="I769" s="1"/>
      <c r="J769" s="1"/>
      <c r="K769" s="1"/>
    </row>
    <row r="770" spans="9:11" x14ac:dyDescent="0.25">
      <c r="I770" s="1"/>
      <c r="J770" s="1"/>
      <c r="K770" s="1"/>
    </row>
    <row r="771" spans="9:11" x14ac:dyDescent="0.25">
      <c r="I771" s="1"/>
      <c r="J771" s="1"/>
      <c r="K771" s="1"/>
    </row>
    <row r="772" spans="9:11" x14ac:dyDescent="0.25">
      <c r="I772" s="1"/>
      <c r="J772" s="1"/>
      <c r="K772" s="1"/>
    </row>
    <row r="773" spans="9:11" x14ac:dyDescent="0.25">
      <c r="I773" s="1"/>
      <c r="J773" s="1"/>
      <c r="K773" s="1"/>
    </row>
    <row r="774" spans="9:11" x14ac:dyDescent="0.25">
      <c r="I774" s="1"/>
      <c r="J774" s="1"/>
      <c r="K774" s="1"/>
    </row>
    <row r="775" spans="9:11" x14ac:dyDescent="0.25">
      <c r="I775" s="1"/>
      <c r="J775" s="1"/>
      <c r="K775" s="1"/>
    </row>
    <row r="776" spans="9:11" x14ac:dyDescent="0.25">
      <c r="I776" s="1"/>
      <c r="J776" s="1"/>
      <c r="K776" s="1"/>
    </row>
    <row r="777" spans="9:11" x14ac:dyDescent="0.25">
      <c r="I777" s="1"/>
      <c r="J777" s="1"/>
      <c r="K777" s="1"/>
    </row>
    <row r="778" spans="9:11" x14ac:dyDescent="0.25">
      <c r="I778" s="1"/>
      <c r="J778" s="1"/>
      <c r="K778" s="1"/>
    </row>
    <row r="779" spans="9:11" x14ac:dyDescent="0.25">
      <c r="I779" s="1"/>
      <c r="J779" s="1"/>
      <c r="K779" s="1"/>
    </row>
    <row r="780" spans="9:11" x14ac:dyDescent="0.25">
      <c r="I780" s="1"/>
      <c r="J780" s="1"/>
      <c r="K780" s="1"/>
    </row>
    <row r="781" spans="9:11" x14ac:dyDescent="0.25">
      <c r="I781" s="1"/>
      <c r="J781" s="1"/>
      <c r="K781" s="1"/>
    </row>
    <row r="782" spans="9:11" x14ac:dyDescent="0.25">
      <c r="I782" s="1"/>
      <c r="J782" s="1"/>
      <c r="K782" s="1"/>
    </row>
    <row r="783" spans="9:11" x14ac:dyDescent="0.25">
      <c r="I783" s="1"/>
      <c r="J783" s="1"/>
      <c r="K783" s="1"/>
    </row>
    <row r="784" spans="9:11" x14ac:dyDescent="0.25">
      <c r="I784" s="1"/>
      <c r="J784" s="1"/>
      <c r="K784" s="1"/>
    </row>
    <row r="785" spans="9:11" x14ac:dyDescent="0.25">
      <c r="I785" s="1"/>
      <c r="J785" s="1"/>
      <c r="K785" s="1"/>
    </row>
    <row r="786" spans="9:11" x14ac:dyDescent="0.25">
      <c r="I786" s="1"/>
      <c r="J786" s="1"/>
      <c r="K786" s="1"/>
    </row>
    <row r="787" spans="9:11" x14ac:dyDescent="0.25">
      <c r="I787" s="1"/>
      <c r="J787" s="1"/>
      <c r="K787" s="1"/>
    </row>
    <row r="788" spans="9:11" x14ac:dyDescent="0.25">
      <c r="I788" s="1"/>
      <c r="J788" s="1"/>
      <c r="K788" s="1"/>
    </row>
    <row r="789" spans="9:11" x14ac:dyDescent="0.25">
      <c r="I789" s="1"/>
      <c r="J789" s="1"/>
      <c r="K789" s="1"/>
    </row>
    <row r="790" spans="9:11" x14ac:dyDescent="0.25">
      <c r="I790" s="1"/>
      <c r="J790" s="1"/>
      <c r="K790" s="1"/>
    </row>
    <row r="791" spans="9:11" x14ac:dyDescent="0.25">
      <c r="I791" s="1"/>
      <c r="J791" s="1"/>
      <c r="K791" s="1"/>
    </row>
    <row r="792" spans="9:11" x14ac:dyDescent="0.25">
      <c r="I792" s="1"/>
      <c r="J792" s="1"/>
      <c r="K792" s="1"/>
    </row>
    <row r="793" spans="9:11" x14ac:dyDescent="0.25">
      <c r="I793" s="1"/>
      <c r="J793" s="1"/>
      <c r="K793" s="1"/>
    </row>
    <row r="794" spans="9:11" x14ac:dyDescent="0.25">
      <c r="I794" s="1"/>
      <c r="J794" s="1"/>
      <c r="K794" s="1"/>
    </row>
    <row r="795" spans="9:11" x14ac:dyDescent="0.25">
      <c r="I795" s="1"/>
      <c r="J795" s="1"/>
      <c r="K795" s="1"/>
    </row>
    <row r="796" spans="9:11" x14ac:dyDescent="0.25">
      <c r="I796" s="1"/>
      <c r="J796" s="1"/>
      <c r="K796" s="1"/>
    </row>
    <row r="797" spans="9:11" x14ac:dyDescent="0.25">
      <c r="I797" s="1"/>
      <c r="J797" s="1"/>
      <c r="K797" s="1"/>
    </row>
    <row r="798" spans="9:11" x14ac:dyDescent="0.25">
      <c r="I798" s="1"/>
      <c r="J798" s="1"/>
      <c r="K798" s="1"/>
    </row>
    <row r="799" spans="9:11" x14ac:dyDescent="0.25">
      <c r="I799" s="1"/>
      <c r="J799" s="1"/>
      <c r="K799" s="1"/>
    </row>
    <row r="800" spans="9:11" x14ac:dyDescent="0.25">
      <c r="I800" s="1"/>
      <c r="J800" s="1"/>
      <c r="K800" s="1"/>
    </row>
    <row r="801" spans="9:11" x14ac:dyDescent="0.25">
      <c r="I801" s="1"/>
      <c r="J801" s="1"/>
      <c r="K801" s="1"/>
    </row>
    <row r="802" spans="9:11" x14ac:dyDescent="0.25">
      <c r="I802" s="1"/>
      <c r="J802" s="1"/>
      <c r="K802" s="1"/>
    </row>
    <row r="803" spans="9:11" x14ac:dyDescent="0.25">
      <c r="I803" s="1"/>
      <c r="J803" s="1"/>
      <c r="K803" s="1"/>
    </row>
    <row r="804" spans="9:11" x14ac:dyDescent="0.25">
      <c r="I804" s="1"/>
      <c r="J804" s="1"/>
      <c r="K804" s="1"/>
    </row>
    <row r="805" spans="9:11" x14ac:dyDescent="0.25">
      <c r="I805" s="1"/>
      <c r="J805" s="1"/>
      <c r="K805" s="1"/>
    </row>
    <row r="806" spans="9:11" x14ac:dyDescent="0.25">
      <c r="I806" s="1"/>
      <c r="J806" s="1"/>
      <c r="K806" s="1"/>
    </row>
    <row r="807" spans="9:11" x14ac:dyDescent="0.25">
      <c r="I807" s="1"/>
      <c r="J807" s="1"/>
      <c r="K807" s="1"/>
    </row>
    <row r="808" spans="9:11" x14ac:dyDescent="0.25">
      <c r="I808" s="1"/>
      <c r="J808" s="1"/>
      <c r="K808" s="1"/>
    </row>
    <row r="809" spans="9:11" x14ac:dyDescent="0.25">
      <c r="I809" s="1"/>
      <c r="J809" s="1"/>
      <c r="K809" s="1"/>
    </row>
    <row r="810" spans="9:11" x14ac:dyDescent="0.25">
      <c r="I810" s="1"/>
      <c r="J810" s="1"/>
      <c r="K810" s="1"/>
    </row>
    <row r="811" spans="9:11" x14ac:dyDescent="0.25">
      <c r="I811" s="1"/>
      <c r="J811" s="1"/>
      <c r="K811" s="1"/>
    </row>
    <row r="812" spans="9:11" x14ac:dyDescent="0.25">
      <c r="I812" s="1"/>
      <c r="J812" s="1"/>
      <c r="K812" s="1"/>
    </row>
    <row r="813" spans="9:11" x14ac:dyDescent="0.25">
      <c r="I813" s="1"/>
      <c r="J813" s="1"/>
      <c r="K813" s="1"/>
    </row>
    <row r="814" spans="9:11" x14ac:dyDescent="0.25">
      <c r="I814" s="1"/>
      <c r="J814" s="1"/>
      <c r="K814" s="1"/>
    </row>
    <row r="815" spans="9:11" x14ac:dyDescent="0.25">
      <c r="I815" s="1"/>
      <c r="J815" s="1"/>
      <c r="K815" s="1"/>
    </row>
    <row r="816" spans="9:11" x14ac:dyDescent="0.25">
      <c r="I816" s="1"/>
      <c r="J816" s="1"/>
      <c r="K816" s="1"/>
    </row>
    <row r="817" spans="9:11" x14ac:dyDescent="0.25">
      <c r="I817" s="1"/>
      <c r="J817" s="1"/>
      <c r="K817" s="1"/>
    </row>
    <row r="818" spans="9:11" x14ac:dyDescent="0.25">
      <c r="I818" s="1"/>
      <c r="J818" s="1"/>
      <c r="K818" s="1"/>
    </row>
    <row r="819" spans="9:11" x14ac:dyDescent="0.25">
      <c r="I819" s="1"/>
      <c r="J819" s="1"/>
      <c r="K819" s="1"/>
    </row>
    <row r="820" spans="9:11" x14ac:dyDescent="0.25">
      <c r="I820" s="1"/>
      <c r="J820" s="1"/>
      <c r="K820" s="1"/>
    </row>
    <row r="821" spans="9:11" x14ac:dyDescent="0.25">
      <c r="I821" s="1"/>
      <c r="J821" s="1"/>
      <c r="K821" s="1"/>
    </row>
    <row r="822" spans="9:11" x14ac:dyDescent="0.25">
      <c r="I822" s="1"/>
      <c r="J822" s="1"/>
      <c r="K822" s="1"/>
    </row>
    <row r="823" spans="9:11" x14ac:dyDescent="0.25">
      <c r="I823" s="1"/>
      <c r="J823" s="1"/>
      <c r="K823" s="1"/>
    </row>
    <row r="824" spans="9:11" x14ac:dyDescent="0.25">
      <c r="I824" s="1"/>
      <c r="J824" s="1"/>
      <c r="K824" s="1"/>
    </row>
    <row r="825" spans="9:11" x14ac:dyDescent="0.25">
      <c r="I825" s="1"/>
      <c r="J825" s="1"/>
      <c r="K825" s="1"/>
    </row>
    <row r="826" spans="9:11" x14ac:dyDescent="0.25">
      <c r="I826" s="1" t="str">
        <f t="shared" ref="I826:I874" si="13">IF(AND(B826&lt;&gt;""),CONCATENATE("INSERT INTO oys.Kod (ID,TIP_ID,SIRA,KOD,KISA_AD,DIGER_UYG_ENUM_AD,DIGER_UYG_ID)VALUES(",A826,",",B826,",",C826,,",","'",D826,"'",",","'",F826,"'",",",IF(_xlfn.IFNA(G826,0)&gt;0,CONCATENATE("'",G826,"'"),"null"),",",IF(_xlfn.IFNA(G826,0)&gt;0,CONCATENATE("'",H826,"'"),"null"),");"),"")</f>
        <v/>
      </c>
      <c r="J826" s="1" t="str">
        <f t="shared" ref="J826:J870" si="14">IF(AND(B826&lt;&gt;"",B826=0),CONCATENATE(" public enum ",E826,"{","
        }"),"")</f>
        <v/>
      </c>
      <c r="K826" s="1" t="str">
        <f>myfn_bosluklariVeIsaretleridDuzenle(myfn_bosluklariVeIsaretleridDuzenle(IF(B826&lt;&gt;0,CONCATENATE(E826,"=",A826,","),"")))</f>
        <v/>
      </c>
    </row>
    <row r="827" spans="9:11" x14ac:dyDescent="0.25">
      <c r="I827" s="1" t="str">
        <f t="shared" si="13"/>
        <v/>
      </c>
      <c r="J827" s="1" t="str">
        <f t="shared" si="14"/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25">
      <c r="I828" s="1" t="str">
        <f t="shared" si="13"/>
        <v/>
      </c>
      <c r="J828" s="1" t="str">
        <f t="shared" si="14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25">
      <c r="I829" s="1" t="str">
        <f t="shared" si="13"/>
        <v/>
      </c>
      <c r="J829" s="1" t="str">
        <f t="shared" si="14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25">
      <c r="I830" s="1" t="str">
        <f t="shared" si="13"/>
        <v/>
      </c>
      <c r="J830" s="1" t="str">
        <f t="shared" si="14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25">
      <c r="I831" s="1" t="str">
        <f t="shared" si="13"/>
        <v/>
      </c>
      <c r="J831" s="1" t="str">
        <f t="shared" si="14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25">
      <c r="I832" s="1" t="str">
        <f t="shared" si="13"/>
        <v/>
      </c>
      <c r="J832" s="1" t="str">
        <f t="shared" si="14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25">
      <c r="I833" s="1" t="str">
        <f t="shared" si="13"/>
        <v/>
      </c>
      <c r="J833" s="1" t="str">
        <f t="shared" si="14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25">
      <c r="I834" s="1" t="str">
        <f t="shared" si="13"/>
        <v/>
      </c>
      <c r="J834" s="1" t="str">
        <f t="shared" si="14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25">
      <c r="I835" s="1" t="str">
        <f t="shared" si="13"/>
        <v/>
      </c>
      <c r="J835" s="1" t="str">
        <f t="shared" si="14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25">
      <c r="I836" s="1" t="str">
        <f t="shared" si="13"/>
        <v/>
      </c>
      <c r="J836" s="1" t="str">
        <f t="shared" si="14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25">
      <c r="I837" s="1" t="str">
        <f t="shared" si="13"/>
        <v/>
      </c>
      <c r="J837" s="1" t="str">
        <f t="shared" si="14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25">
      <c r="I838" s="1" t="str">
        <f t="shared" si="13"/>
        <v/>
      </c>
      <c r="J838" s="1" t="str">
        <f t="shared" si="14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25">
      <c r="I839" s="1" t="str">
        <f t="shared" si="13"/>
        <v/>
      </c>
      <c r="J839" s="1" t="str">
        <f t="shared" si="14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25">
      <c r="I840" s="1" t="str">
        <f t="shared" si="13"/>
        <v/>
      </c>
      <c r="J840" s="1" t="str">
        <f t="shared" si="14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25">
      <c r="I841" s="1" t="str">
        <f t="shared" si="13"/>
        <v/>
      </c>
      <c r="J841" s="1" t="str">
        <f t="shared" si="14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25">
      <c r="I842" s="1" t="str">
        <f t="shared" si="13"/>
        <v/>
      </c>
      <c r="J842" s="1" t="str">
        <f t="shared" si="14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25">
      <c r="I843" s="1" t="str">
        <f t="shared" si="13"/>
        <v/>
      </c>
      <c r="J843" s="1" t="str">
        <f t="shared" si="14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25">
      <c r="I844" s="1" t="str">
        <f t="shared" si="13"/>
        <v/>
      </c>
      <c r="J844" s="1" t="str">
        <f t="shared" si="14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25">
      <c r="I845" s="1" t="str">
        <f t="shared" si="13"/>
        <v/>
      </c>
      <c r="J845" s="1" t="str">
        <f t="shared" si="14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25">
      <c r="I846" s="1" t="str">
        <f t="shared" si="13"/>
        <v/>
      </c>
      <c r="J846" s="1" t="str">
        <f t="shared" si="14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25">
      <c r="I847" s="1" t="str">
        <f t="shared" si="13"/>
        <v/>
      </c>
      <c r="J847" s="1" t="str">
        <f t="shared" si="14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25">
      <c r="I848" s="1" t="str">
        <f t="shared" si="13"/>
        <v/>
      </c>
      <c r="J848" s="1" t="str">
        <f t="shared" si="14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25">
      <c r="I849" s="1" t="str">
        <f t="shared" si="13"/>
        <v/>
      </c>
      <c r="J849" s="1" t="str">
        <f t="shared" si="14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25">
      <c r="I850" s="1" t="str">
        <f t="shared" si="13"/>
        <v/>
      </c>
      <c r="J850" s="1" t="str">
        <f t="shared" si="14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25">
      <c r="I851" s="1" t="str">
        <f t="shared" si="13"/>
        <v/>
      </c>
      <c r="J851" s="1" t="str">
        <f t="shared" si="14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25">
      <c r="I852" s="1" t="str">
        <f t="shared" si="13"/>
        <v/>
      </c>
      <c r="J852" s="1" t="str">
        <f t="shared" si="14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25">
      <c r="I853" s="1" t="str">
        <f t="shared" si="13"/>
        <v/>
      </c>
      <c r="J853" s="1" t="str">
        <f t="shared" si="14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25">
      <c r="I854" s="1" t="str">
        <f t="shared" si="13"/>
        <v/>
      </c>
      <c r="J854" s="1" t="str">
        <f t="shared" si="14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25">
      <c r="I855" s="1" t="str">
        <f t="shared" si="13"/>
        <v/>
      </c>
      <c r="J855" s="1" t="str">
        <f t="shared" si="14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25">
      <c r="I856" s="1" t="str">
        <f t="shared" si="13"/>
        <v/>
      </c>
      <c r="J856" s="1" t="str">
        <f t="shared" si="14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25">
      <c r="I857" s="1" t="str">
        <f t="shared" si="13"/>
        <v/>
      </c>
      <c r="J857" s="1" t="str">
        <f t="shared" si="14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25">
      <c r="I858" s="1" t="str">
        <f t="shared" si="13"/>
        <v/>
      </c>
      <c r="J858" s="1" t="str">
        <f t="shared" si="14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25">
      <c r="I859" s="1" t="str">
        <f t="shared" si="13"/>
        <v/>
      </c>
      <c r="J859" s="1" t="str">
        <f t="shared" si="14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25">
      <c r="I860" s="1" t="str">
        <f t="shared" si="13"/>
        <v/>
      </c>
      <c r="J860" s="1" t="str">
        <f t="shared" si="14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25">
      <c r="I861" s="1" t="str">
        <f t="shared" si="13"/>
        <v/>
      </c>
      <c r="J861" s="1" t="str">
        <f t="shared" si="14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25">
      <c r="I862" s="1" t="str">
        <f t="shared" si="13"/>
        <v/>
      </c>
      <c r="J862" s="1" t="str">
        <f t="shared" si="14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25">
      <c r="I863" s="1" t="str">
        <f t="shared" si="13"/>
        <v/>
      </c>
      <c r="J863" s="1" t="str">
        <f t="shared" si="14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25">
      <c r="I864" s="1" t="str">
        <f t="shared" si="13"/>
        <v/>
      </c>
      <c r="J864" s="1" t="str">
        <f t="shared" si="14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25">
      <c r="I865" s="1" t="str">
        <f t="shared" si="13"/>
        <v/>
      </c>
      <c r="J865" s="1" t="str">
        <f t="shared" si="14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25">
      <c r="I866" s="1" t="str">
        <f t="shared" si="13"/>
        <v/>
      </c>
      <c r="J866" s="1" t="str">
        <f t="shared" si="14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25">
      <c r="I867" s="1" t="str">
        <f t="shared" si="13"/>
        <v/>
      </c>
      <c r="J867" s="1" t="str">
        <f t="shared" si="14"/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25">
      <c r="I868" s="1" t="str">
        <f t="shared" si="13"/>
        <v/>
      </c>
      <c r="J868" s="1" t="str">
        <f t="shared" si="14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25">
      <c r="I869" s="1" t="str">
        <f t="shared" si="13"/>
        <v/>
      </c>
      <c r="J869" s="1" t="str">
        <f t="shared" si="14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25">
      <c r="I870" s="1" t="str">
        <f t="shared" si="13"/>
        <v/>
      </c>
      <c r="J870" s="1" t="str">
        <f t="shared" si="14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25">
      <c r="I871" s="1" t="str">
        <f t="shared" si="13"/>
        <v/>
      </c>
      <c r="J871" s="1" t="str">
        <f t="shared" ref="J871:J934" si="15">IF(AND(B871&lt;&gt;"",B871=0),CONCATENATE(" public enum ",E871,"{","
        }"),"")</f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25">
      <c r="I872" s="1" t="str">
        <f t="shared" si="13"/>
        <v/>
      </c>
      <c r="J872" s="1" t="str">
        <f t="shared" si="15"/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25">
      <c r="I873" s="1" t="str">
        <f t="shared" si="13"/>
        <v/>
      </c>
      <c r="J873" s="1" t="str">
        <f t="shared" si="15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25">
      <c r="I874" s="1" t="str">
        <f t="shared" si="13"/>
        <v/>
      </c>
      <c r="J874" s="1" t="str">
        <f t="shared" si="15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25">
      <c r="I875" s="1" t="str">
        <f t="shared" ref="I875:I938" si="16">IF(AND(B875&lt;&gt;""),CONCATENATE("INSERT INTO oys.Kod (ID,TIP_ID,SIRA,KOD,KISA_AD,DIGER_UYG_ENUM_AD,DIGER_UYG_ID)VALUES(",A875,",",B875,",",C875,,",","'",D875,"'",",","'",F875,"'",",",IF(_xlfn.IFNA(G875,0)&gt;0,CONCATENATE("'",G875,"'"),"null"),",",IF(_xlfn.IFNA(G875,0)&gt;0,CONCATENATE("'",H875,"'"),"null"),");"),"")</f>
        <v/>
      </c>
      <c r="J875" s="1" t="str">
        <f t="shared" si="15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25">
      <c r="I876" s="1" t="str">
        <f t="shared" si="16"/>
        <v/>
      </c>
      <c r="J876" s="1" t="str">
        <f t="shared" si="15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25">
      <c r="I877" s="1" t="str">
        <f t="shared" si="16"/>
        <v/>
      </c>
      <c r="J877" s="1" t="str">
        <f t="shared" si="15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25">
      <c r="I878" s="1" t="str">
        <f t="shared" si="16"/>
        <v/>
      </c>
      <c r="J878" s="1" t="str">
        <f t="shared" si="15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25">
      <c r="I879" s="1" t="str">
        <f t="shared" si="16"/>
        <v/>
      </c>
      <c r="J879" s="1" t="str">
        <f t="shared" si="15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25">
      <c r="I880" s="1" t="str">
        <f t="shared" si="16"/>
        <v/>
      </c>
      <c r="J880" s="1" t="str">
        <f t="shared" si="15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25">
      <c r="I881" s="1" t="str">
        <f t="shared" si="16"/>
        <v/>
      </c>
      <c r="J881" s="1" t="str">
        <f t="shared" si="15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25">
      <c r="I882" s="1" t="str">
        <f t="shared" si="16"/>
        <v/>
      </c>
      <c r="J882" s="1" t="str">
        <f t="shared" si="15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25">
      <c r="I883" s="1" t="str">
        <f t="shared" si="16"/>
        <v/>
      </c>
      <c r="J883" s="1" t="str">
        <f t="shared" si="15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25">
      <c r="I884" s="1" t="str">
        <f t="shared" si="16"/>
        <v/>
      </c>
      <c r="J884" s="1" t="str">
        <f t="shared" si="15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25">
      <c r="I885" s="1" t="str">
        <f t="shared" si="16"/>
        <v/>
      </c>
      <c r="J885" s="1" t="str">
        <f t="shared" si="15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25">
      <c r="I886" s="1" t="str">
        <f t="shared" si="16"/>
        <v/>
      </c>
      <c r="J886" s="1" t="str">
        <f t="shared" si="15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25">
      <c r="I887" s="1" t="str">
        <f t="shared" si="16"/>
        <v/>
      </c>
      <c r="J887" s="1" t="str">
        <f t="shared" si="15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25">
      <c r="I888" s="1" t="str">
        <f t="shared" si="16"/>
        <v/>
      </c>
      <c r="J888" s="1" t="str">
        <f t="shared" si="15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25">
      <c r="I889" s="1" t="str">
        <f t="shared" si="16"/>
        <v/>
      </c>
      <c r="J889" s="1" t="str">
        <f t="shared" si="15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25">
      <c r="I890" s="1" t="str">
        <f t="shared" si="16"/>
        <v/>
      </c>
      <c r="J890" s="1" t="str">
        <f t="shared" si="15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25">
      <c r="I891" s="1" t="str">
        <f t="shared" si="16"/>
        <v/>
      </c>
      <c r="J891" s="1" t="str">
        <f t="shared" si="15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25">
      <c r="I892" s="1" t="str">
        <f t="shared" si="16"/>
        <v/>
      </c>
      <c r="J892" s="1" t="str">
        <f t="shared" si="15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25">
      <c r="I893" s="1" t="str">
        <f t="shared" si="16"/>
        <v/>
      </c>
      <c r="J893" s="1" t="str">
        <f t="shared" si="15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25">
      <c r="I894" s="1" t="str">
        <f t="shared" si="16"/>
        <v/>
      </c>
      <c r="J894" s="1" t="str">
        <f t="shared" si="15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25">
      <c r="I895" s="1" t="str">
        <f t="shared" si="16"/>
        <v/>
      </c>
      <c r="J895" s="1" t="str">
        <f t="shared" si="15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25">
      <c r="I896" s="1" t="str">
        <f t="shared" si="16"/>
        <v/>
      </c>
      <c r="J896" s="1" t="str">
        <f t="shared" si="15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25">
      <c r="I897" s="1" t="str">
        <f t="shared" si="16"/>
        <v/>
      </c>
      <c r="J897" s="1" t="str">
        <f t="shared" si="15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25">
      <c r="I898" s="1" t="str">
        <f t="shared" si="16"/>
        <v/>
      </c>
      <c r="J898" s="1" t="str">
        <f t="shared" si="15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25">
      <c r="I899" s="1" t="str">
        <f t="shared" si="16"/>
        <v/>
      </c>
      <c r="J899" s="1" t="str">
        <f t="shared" si="15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25">
      <c r="I900" s="1" t="str">
        <f t="shared" si="16"/>
        <v/>
      </c>
      <c r="J900" s="1" t="str">
        <f t="shared" si="15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25">
      <c r="I901" s="1" t="str">
        <f t="shared" si="16"/>
        <v/>
      </c>
      <c r="J901" s="1" t="str">
        <f t="shared" si="15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25">
      <c r="I902" s="1" t="str">
        <f t="shared" si="16"/>
        <v/>
      </c>
      <c r="J902" s="1" t="str">
        <f t="shared" si="15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25">
      <c r="I903" s="1" t="str">
        <f t="shared" si="16"/>
        <v/>
      </c>
      <c r="J903" s="1" t="str">
        <f t="shared" si="15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25">
      <c r="I904" s="1" t="str">
        <f t="shared" si="16"/>
        <v/>
      </c>
      <c r="J904" s="1" t="str">
        <f t="shared" si="15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25">
      <c r="I905" s="1" t="str">
        <f t="shared" si="16"/>
        <v/>
      </c>
      <c r="J905" s="1" t="str">
        <f t="shared" si="15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25">
      <c r="I906" s="1" t="str">
        <f t="shared" si="16"/>
        <v/>
      </c>
      <c r="J906" s="1" t="str">
        <f t="shared" si="15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25">
      <c r="I907" s="1" t="str">
        <f t="shared" si="16"/>
        <v/>
      </c>
      <c r="J907" s="1" t="str">
        <f t="shared" si="15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25">
      <c r="I908" s="1" t="str">
        <f t="shared" si="16"/>
        <v/>
      </c>
      <c r="J908" s="1" t="str">
        <f t="shared" si="15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25">
      <c r="I909" s="1" t="str">
        <f t="shared" si="16"/>
        <v/>
      </c>
      <c r="J909" s="1" t="str">
        <f t="shared" si="15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25">
      <c r="I910" s="1" t="str">
        <f t="shared" si="16"/>
        <v/>
      </c>
      <c r="J910" s="1" t="str">
        <f t="shared" si="15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25">
      <c r="I911" s="1" t="str">
        <f t="shared" si="16"/>
        <v/>
      </c>
      <c r="J911" s="1" t="str">
        <f t="shared" si="15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25">
      <c r="I912" s="1" t="str">
        <f t="shared" si="16"/>
        <v/>
      </c>
      <c r="J912" s="1" t="str">
        <f t="shared" si="15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25">
      <c r="I913" s="1" t="str">
        <f t="shared" si="16"/>
        <v/>
      </c>
      <c r="J913" s="1" t="str">
        <f t="shared" si="15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25">
      <c r="I914" s="1" t="str">
        <f t="shared" si="16"/>
        <v/>
      </c>
      <c r="J914" s="1" t="str">
        <f t="shared" si="15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25">
      <c r="I915" s="1" t="str">
        <f t="shared" si="16"/>
        <v/>
      </c>
      <c r="J915" s="1" t="str">
        <f t="shared" si="15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25">
      <c r="I916" s="1" t="str">
        <f t="shared" si="16"/>
        <v/>
      </c>
      <c r="J916" s="1" t="str">
        <f t="shared" si="15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25">
      <c r="I917" s="1" t="str">
        <f t="shared" si="16"/>
        <v/>
      </c>
      <c r="J917" s="1" t="str">
        <f t="shared" si="15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25">
      <c r="I918" s="1" t="str">
        <f t="shared" si="16"/>
        <v/>
      </c>
      <c r="J918" s="1" t="str">
        <f t="shared" si="15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25">
      <c r="I919" s="1" t="str">
        <f t="shared" si="16"/>
        <v/>
      </c>
      <c r="J919" s="1" t="str">
        <f t="shared" si="15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25">
      <c r="I920" s="1" t="str">
        <f t="shared" si="16"/>
        <v/>
      </c>
      <c r="J920" s="1" t="str">
        <f t="shared" si="15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25">
      <c r="I921" s="1" t="str">
        <f t="shared" si="16"/>
        <v/>
      </c>
      <c r="J921" s="1" t="str">
        <f t="shared" si="15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25">
      <c r="I922" s="1" t="str">
        <f t="shared" si="16"/>
        <v/>
      </c>
      <c r="J922" s="1" t="str">
        <f t="shared" si="15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25">
      <c r="I923" s="1" t="str">
        <f t="shared" si="16"/>
        <v/>
      </c>
      <c r="J923" s="1" t="str">
        <f t="shared" si="15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25">
      <c r="I924" s="1" t="str">
        <f t="shared" si="16"/>
        <v/>
      </c>
      <c r="J924" s="1" t="str">
        <f t="shared" si="15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25">
      <c r="I925" s="1" t="str">
        <f t="shared" si="16"/>
        <v/>
      </c>
      <c r="J925" s="1" t="str">
        <f t="shared" si="15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25">
      <c r="I926" s="1" t="str">
        <f t="shared" si="16"/>
        <v/>
      </c>
      <c r="J926" s="1" t="str">
        <f t="shared" si="15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25">
      <c r="I927" s="1" t="str">
        <f t="shared" si="16"/>
        <v/>
      </c>
      <c r="J927" s="1" t="str">
        <f t="shared" si="15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25">
      <c r="I928" s="1" t="str">
        <f t="shared" si="16"/>
        <v/>
      </c>
      <c r="J928" s="1" t="str">
        <f t="shared" si="15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25">
      <c r="I929" s="1" t="str">
        <f t="shared" si="16"/>
        <v/>
      </c>
      <c r="J929" s="1" t="str">
        <f t="shared" si="15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25">
      <c r="I930" s="1" t="str">
        <f t="shared" si="16"/>
        <v/>
      </c>
      <c r="J930" s="1" t="str">
        <f t="shared" si="15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25">
      <c r="I931" s="1" t="str">
        <f t="shared" si="16"/>
        <v/>
      </c>
      <c r="J931" s="1" t="str">
        <f t="shared" si="15"/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25">
      <c r="I932" s="1" t="str">
        <f t="shared" si="16"/>
        <v/>
      </c>
      <c r="J932" s="1" t="str">
        <f t="shared" si="15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25">
      <c r="I933" s="1" t="str">
        <f t="shared" si="16"/>
        <v/>
      </c>
      <c r="J933" s="1" t="str">
        <f t="shared" si="15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25">
      <c r="I934" s="1" t="str">
        <f t="shared" si="16"/>
        <v/>
      </c>
      <c r="J934" s="1" t="str">
        <f t="shared" si="15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25">
      <c r="I935" s="1" t="str">
        <f t="shared" si="16"/>
        <v/>
      </c>
      <c r="J935" s="1" t="str">
        <f t="shared" ref="J935:J939" si="17">IF(AND(B935&lt;&gt;"",B935=0),CONCATENATE(" public enum ",E935,"{","
        }"),"")</f>
        <v/>
      </c>
      <c r="K935" s="1" t="str">
        <f>myfn_bosluklariVeIsaretleridDuzenle(myfn_bosluklariVeIsaretleridDuzenle(IF(B935&lt;&gt;0,CONCATENATE(E935,"=",A935,","),"")))</f>
        <v/>
      </c>
    </row>
    <row r="936" spans="9:11" x14ac:dyDescent="0.25">
      <c r="I936" s="1" t="str">
        <f t="shared" si="16"/>
        <v/>
      </c>
      <c r="J936" s="1" t="str">
        <f t="shared" si="17"/>
        <v/>
      </c>
      <c r="K936" s="1" t="str">
        <f>myfn_bosluklariVeIsaretleridDuzenle(myfn_bosluklariVeIsaretleridDuzenle(IF(B936&lt;&gt;0,CONCATENATE(E936,"=",A936,","),"")))</f>
        <v/>
      </c>
    </row>
    <row r="937" spans="9:11" x14ac:dyDescent="0.25">
      <c r="I937" s="1" t="str">
        <f t="shared" si="16"/>
        <v/>
      </c>
      <c r="J937" s="1" t="str">
        <f t="shared" si="17"/>
        <v/>
      </c>
      <c r="K937" s="1" t="str">
        <f>myfn_bosluklariVeIsaretleridDuzenle(myfn_bosluklariVeIsaretleridDuzenle(IF(B937&lt;&gt;0,CONCATENATE(E937,"=",A937,","),"")))</f>
        <v/>
      </c>
    </row>
    <row r="938" spans="9:11" x14ac:dyDescent="0.25">
      <c r="I938" s="1" t="str">
        <f t="shared" si="16"/>
        <v/>
      </c>
      <c r="J938" s="1" t="str">
        <f t="shared" si="17"/>
        <v/>
      </c>
      <c r="K938" s="1" t="str">
        <f>myfn_bosluklariVeIsaretleridDuzenle(myfn_bosluklariVeIsaretleridDuzenle(IF(B938&lt;&gt;0,CONCATENATE(E938,"=",A938,","),"")))</f>
        <v/>
      </c>
    </row>
    <row r="939" spans="9:11" x14ac:dyDescent="0.25">
      <c r="I939" s="1" t="str">
        <f t="shared" ref="I939" si="18">IF(AND(B939&lt;&gt;""),CONCATENATE("INSERT INTO oys.Kod (ID,TIP_ID,SIRA,KOD,KISA_AD,DIGER_UYG_ENUM_AD,DIGER_UYG_ID)VALUES(",A939,",",B939,",",C939,,",","'",D939,"'",",","'",F939,"'",",",IF(_xlfn.IFNA(G939,0)&gt;0,CONCATENATE("'",G939,"'"),"null"),",",IF(_xlfn.IFNA(G939,0)&gt;0,CONCATENATE("'",H939,"'"),"null"),");"),"")</f>
        <v/>
      </c>
      <c r="J939" s="1" t="str">
        <f t="shared" si="17"/>
        <v/>
      </c>
      <c r="K939" s="1" t="str">
        <f>myfn_bosluklariVeIsaretleridDuzenle(myfn_bosluklariVeIsaretleridDuzenle(IF(B939&lt;&gt;0,CONCATENATE(E939,"=",A939,","),"")))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Ahmet-Erol</cp:lastModifiedBy>
  <dcterms:created xsi:type="dcterms:W3CDTF">2018-03-29T11:19:27Z</dcterms:created>
  <dcterms:modified xsi:type="dcterms:W3CDTF">2025-06-14T23:11:45Z</dcterms:modified>
</cp:coreProperties>
</file>