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D:\Development\ozel\TemhaPdks\dosyalar\"/>
    </mc:Choice>
  </mc:AlternateContent>
  <bookViews>
    <workbookView xWindow="0" yWindow="0" windowWidth="20490" windowHeight="5100"/>
  </bookViews>
  <sheets>
    <sheet name="lookup a at" sheetId="5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5" l="1"/>
  <c r="I9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K8" i="5"/>
  <c r="K9" i="5"/>
  <c r="I3" i="5" l="1"/>
  <c r="I4" i="5"/>
  <c r="I5" i="5"/>
  <c r="I6" i="5"/>
  <c r="I7" i="5"/>
  <c r="I2" i="5"/>
  <c r="E9" i="5"/>
  <c r="E8" i="5"/>
  <c r="J54" i="5" l="1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K85" i="5"/>
  <c r="K128" i="5"/>
  <c r="K157" i="5"/>
  <c r="K158" i="5"/>
  <c r="K121" i="5"/>
  <c r="K113" i="5"/>
  <c r="K99" i="5"/>
  <c r="K67" i="5"/>
  <c r="K135" i="5"/>
  <c r="K173" i="5"/>
  <c r="K98" i="5"/>
  <c r="K144" i="5"/>
  <c r="K145" i="5"/>
  <c r="K125" i="5"/>
  <c r="K54" i="5"/>
  <c r="K169" i="5"/>
  <c r="K147" i="5"/>
  <c r="K148" i="5"/>
  <c r="K72" i="5"/>
  <c r="K160" i="5"/>
  <c r="K73" i="5"/>
  <c r="K175" i="5"/>
  <c r="K110" i="5"/>
  <c r="K170" i="5"/>
  <c r="K124" i="5"/>
  <c r="K64" i="5"/>
  <c r="K68" i="5"/>
  <c r="K146" i="5"/>
  <c r="K96" i="5"/>
  <c r="K83" i="5"/>
  <c r="K66" i="5"/>
  <c r="K65" i="5"/>
  <c r="K112" i="5"/>
  <c r="K80" i="5"/>
  <c r="K90" i="5"/>
  <c r="K174" i="5"/>
  <c r="K138" i="5"/>
  <c r="K165" i="5"/>
  <c r="K114" i="5"/>
  <c r="K130" i="5"/>
  <c r="K69" i="5"/>
  <c r="K63" i="5"/>
  <c r="K115" i="5"/>
  <c r="K81" i="5"/>
  <c r="K70" i="5"/>
  <c r="K89" i="5"/>
  <c r="K137" i="5"/>
  <c r="K180" i="5"/>
  <c r="K176" i="5"/>
  <c r="K91" i="5"/>
  <c r="K162" i="5"/>
  <c r="K95" i="5"/>
  <c r="K168" i="5"/>
  <c r="K97" i="5"/>
  <c r="K151" i="5"/>
  <c r="K126" i="5"/>
  <c r="K152" i="5"/>
  <c r="K79" i="5"/>
  <c r="K132" i="5"/>
  <c r="K195" i="5"/>
  <c r="K127" i="5"/>
  <c r="K185" i="5"/>
  <c r="K71" i="5"/>
  <c r="K77" i="5"/>
  <c r="K197" i="5"/>
  <c r="K111" i="5"/>
  <c r="K134" i="5"/>
  <c r="K75" i="5"/>
  <c r="K201" i="5"/>
  <c r="K57" i="5"/>
  <c r="K150" i="5"/>
  <c r="K192" i="5"/>
  <c r="K108" i="5"/>
  <c r="K178" i="5"/>
  <c r="K107" i="5"/>
  <c r="K131" i="5"/>
  <c r="K76" i="5"/>
  <c r="K139" i="5"/>
  <c r="K103" i="5"/>
  <c r="K179" i="5"/>
  <c r="K189" i="5"/>
  <c r="K183" i="5"/>
  <c r="K59" i="5"/>
  <c r="K196" i="5"/>
  <c r="K133" i="5"/>
  <c r="K106" i="5"/>
  <c r="K92" i="5"/>
  <c r="K122" i="5"/>
  <c r="K172" i="5"/>
  <c r="K156" i="5"/>
  <c r="K191" i="5"/>
  <c r="K202" i="5"/>
  <c r="K181" i="5"/>
  <c r="K154" i="5"/>
  <c r="K117" i="5"/>
  <c r="K149" i="5"/>
  <c r="K120" i="5"/>
  <c r="K84" i="5"/>
  <c r="K87" i="5"/>
  <c r="K123" i="5"/>
  <c r="K118" i="5"/>
  <c r="K61" i="5"/>
  <c r="K193" i="5"/>
  <c r="K74" i="5"/>
  <c r="K62" i="5"/>
  <c r="K60" i="5"/>
  <c r="K187" i="5"/>
  <c r="K101" i="5"/>
  <c r="K86" i="5"/>
  <c r="K199" i="5"/>
  <c r="K171" i="5"/>
  <c r="K129" i="5"/>
  <c r="K198" i="5"/>
  <c r="K56" i="5"/>
  <c r="K161" i="5"/>
  <c r="K182" i="5"/>
  <c r="K143" i="5"/>
  <c r="K194" i="5"/>
  <c r="K155" i="5"/>
  <c r="K166" i="5"/>
  <c r="K119" i="5"/>
  <c r="K109" i="5"/>
  <c r="K88" i="5"/>
  <c r="K167" i="5"/>
  <c r="K141" i="5"/>
  <c r="K116" i="5"/>
  <c r="K100" i="5"/>
  <c r="K58" i="5"/>
  <c r="K188" i="5"/>
  <c r="K184" i="5"/>
  <c r="K177" i="5"/>
  <c r="K82" i="5"/>
  <c r="K203" i="5"/>
  <c r="K140" i="5"/>
  <c r="K186" i="5"/>
  <c r="K159" i="5"/>
  <c r="K105" i="5"/>
  <c r="K164" i="5"/>
  <c r="K94" i="5"/>
  <c r="K104" i="5"/>
  <c r="K93" i="5"/>
  <c r="K55" i="5"/>
  <c r="K200" i="5"/>
  <c r="K190" i="5"/>
  <c r="K142" i="5"/>
  <c r="K102" i="5"/>
  <c r="K163" i="5"/>
  <c r="K136" i="5"/>
  <c r="K153" i="5"/>
  <c r="K78" i="5"/>
  <c r="J3" i="5" l="1"/>
  <c r="J4" i="5"/>
  <c r="J5" i="5"/>
  <c r="J6" i="5"/>
  <c r="J7" i="5"/>
  <c r="E3" i="5"/>
  <c r="E4" i="5"/>
  <c r="E2" i="5"/>
  <c r="K2" i="5"/>
  <c r="J2" i="5" l="1"/>
  <c r="E7" i="5"/>
  <c r="E5" i="5"/>
  <c r="E6" i="5"/>
  <c r="K4" i="5"/>
  <c r="K3" i="5"/>
  <c r="J822" i="5" l="1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K872" i="5"/>
  <c r="K866" i="5"/>
  <c r="K890" i="5"/>
  <c r="K864" i="5"/>
  <c r="K899" i="5"/>
  <c r="K838" i="5"/>
  <c r="K901" i="5"/>
  <c r="K870" i="5"/>
  <c r="K909" i="5"/>
  <c r="K911" i="5"/>
  <c r="K857" i="5"/>
  <c r="K835" i="5"/>
  <c r="K934" i="5"/>
  <c r="K833" i="5"/>
  <c r="K913" i="5"/>
  <c r="K880" i="5"/>
  <c r="K846" i="5"/>
  <c r="K907" i="5"/>
  <c r="K824" i="5"/>
  <c r="K848" i="5"/>
  <c r="K853" i="5"/>
  <c r="K891" i="5"/>
  <c r="K843" i="5"/>
  <c r="K845" i="5"/>
  <c r="K876" i="5"/>
  <c r="K905" i="5"/>
  <c r="K919" i="5"/>
  <c r="K898" i="5"/>
  <c r="K829" i="5"/>
  <c r="K918" i="5"/>
  <c r="K884" i="5"/>
  <c r="K904" i="5"/>
  <c r="K859" i="5"/>
  <c r="K871" i="5"/>
  <c r="K910" i="5"/>
  <c r="K841" i="5"/>
  <c r="K869" i="5"/>
  <c r="K861" i="5"/>
  <c r="K921" i="5"/>
  <c r="K825" i="5"/>
  <c r="K831" i="5"/>
  <c r="K842" i="5"/>
  <c r="K849" i="5"/>
  <c r="K856" i="5"/>
  <c r="K888" i="5"/>
  <c r="K931" i="5"/>
  <c r="K914" i="5"/>
  <c r="K827" i="5"/>
  <c r="K882" i="5"/>
  <c r="K897" i="5"/>
  <c r="K923" i="5"/>
  <c r="K896" i="5"/>
  <c r="K906" i="5"/>
  <c r="K892" i="5"/>
  <c r="K847" i="5"/>
  <c r="K920" i="5"/>
  <c r="K886" i="5"/>
  <c r="K839" i="5"/>
  <c r="K851" i="5"/>
  <c r="K837" i="5"/>
  <c r="K925" i="5"/>
  <c r="K932" i="5"/>
  <c r="K868" i="5"/>
  <c r="K873" i="5"/>
  <c r="K915" i="5"/>
  <c r="K878" i="5"/>
  <c r="K826" i="5"/>
  <c r="K893" i="5"/>
  <c r="K855" i="5"/>
  <c r="K834" i="5"/>
  <c r="K933" i="5"/>
  <c r="K917" i="5"/>
  <c r="K879" i="5"/>
  <c r="K902" i="5"/>
  <c r="K883" i="5"/>
  <c r="K916" i="5"/>
  <c r="K889" i="5"/>
  <c r="K928" i="5"/>
  <c r="K887" i="5"/>
  <c r="K926" i="5"/>
  <c r="K912" i="5"/>
  <c r="K895" i="5"/>
  <c r="K823" i="5"/>
  <c r="K852" i="5"/>
  <c r="K900" i="5"/>
  <c r="K828" i="5"/>
  <c r="K935" i="5"/>
  <c r="K922" i="5"/>
  <c r="K858" i="5"/>
  <c r="K874" i="5"/>
  <c r="K875" i="5"/>
  <c r="K903" i="5"/>
  <c r="K885" i="5"/>
  <c r="K840" i="5"/>
  <c r="K862" i="5"/>
  <c r="K854" i="5"/>
  <c r="K877" i="5"/>
  <c r="K930" i="5"/>
  <c r="K894" i="5"/>
  <c r="K867" i="5"/>
  <c r="K844" i="5"/>
  <c r="K836" i="5"/>
  <c r="K863" i="5"/>
  <c r="K908" i="5"/>
  <c r="K924" i="5"/>
  <c r="K865" i="5"/>
  <c r="K830" i="5"/>
  <c r="K881" i="5"/>
  <c r="K832" i="5"/>
  <c r="K927" i="5"/>
  <c r="K822" i="5"/>
  <c r="K929" i="5"/>
  <c r="K860" i="5"/>
  <c r="K850" i="5"/>
  <c r="K5" i="5"/>
  <c r="K7" i="5"/>
  <c r="K6" i="5"/>
</calcChain>
</file>

<file path=xl/sharedStrings.xml><?xml version="1.0" encoding="utf-8"?>
<sst xmlns="http://schemas.openxmlformats.org/spreadsheetml/2006/main" count="17" uniqueCount="17">
  <si>
    <t>diger uyg enum ad</t>
  </si>
  <si>
    <t>diğer uyg ıd</t>
  </si>
  <si>
    <t>ıd</t>
  </si>
  <si>
    <t>tıp_id</t>
  </si>
  <si>
    <t>sira</t>
  </si>
  <si>
    <t>kod</t>
  </si>
  <si>
    <t>kısa_Ad</t>
  </si>
  <si>
    <t>insert kodu</t>
  </si>
  <si>
    <t>enum class kodu</t>
  </si>
  <si>
    <t>enum başlık kodu</t>
  </si>
  <si>
    <t>enum_key -- buraya bişey yaza gerekmedikçe bu class ta kullanılacak</t>
  </si>
  <si>
    <t>Firma Cihaz Tip</t>
  </si>
  <si>
    <t>QR Model</t>
  </si>
  <si>
    <t>Model 1</t>
  </si>
  <si>
    <t>Model 2</t>
  </si>
  <si>
    <t>Model 3</t>
  </si>
  <si>
    <t>Model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</si>
</sst>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K935"/>
  <sheetViews>
    <sheetView tabSelected="1" zoomScale="85" zoomScaleNormal="85" workbookViewId="0">
      <pane ySplit="1" topLeftCell="A2" activePane="bottomLeft" state="frozen"/>
      <selection pane="bottomLeft" activeCell="E24" sqref="E24"/>
    </sheetView>
  </sheetViews>
  <sheetFormatPr defaultRowHeight="15" x14ac:dyDescent="0.25"/>
  <cols>
    <col min="1" max="1" width="13.140625" customWidth="1"/>
    <col min="2" max="2" width="4" bestFit="1" customWidth="1"/>
    <col min="3" max="3" width="4" customWidth="1"/>
    <col min="4" max="4" width="78.5703125" bestFit="1" customWidth="1"/>
    <col min="5" max="5" width="59" style="2" bestFit="1" customWidth="1"/>
    <col min="6" max="6" width="24.42578125" customWidth="1"/>
    <col min="7" max="8" width="60.28515625" customWidth="1"/>
    <col min="9" max="9" width="230.28515625" bestFit="1" customWidth="1"/>
    <col min="10" max="10" width="35.5703125" customWidth="1"/>
  </cols>
  <sheetData>
    <row r="1" spans="1:11" s="3" customFormat="1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10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K1" s="3" t="s">
        <v>9</v>
      </c>
    </row>
    <row r="2" spans="1:11" s="1" customFormat="1" x14ac:dyDescent="0.25">
      <c r="A2" s="1">
        <v>101</v>
      </c>
      <c r="B2" s="1">
        <v>0</v>
      </c>
      <c r="C2" s="1">
        <v>0</v>
      </c>
      <c r="D2" s="1" t="s">
        <v>11</v>
      </c>
      <c r="E2" s="2" t="str">
        <f>myfn_buyuk_harfe_cevir(myfn_turkceToIngilizce(myfn_bosluklariVeIsaretleridDuzenle(D2)))</f>
        <v>FIRMA_CIHAZ_TIP</v>
      </c>
      <c r="I2" s="1" t="str">
        <f>IF(AND(B2&lt;&gt;""),CONCATENATE("INSERT INTO t_kod (ID,TIP_ID,SIRA,KOD,KISA_AD,DIGER_UYG_ENUM_AD,DIGER_UYG_ID)VALUES(",A2,",",B2,",",C2,,",","'",D2,"'",",","'",F2,"'",",",IF(_xlfn.IFNA(G2,0)&gt;0,CONCATENATE("'",G2,"'"),"null"),",",IF(_xlfn.IFNA(G2,0)&gt;0,CONCATENATE("'",H2,"'"),"null"),");"),"")</f>
        <v>INSERT INTO t_kod (ID,TIP_ID,SIRA,KOD,KISA_AD,DIGER_UYG_ENUM_AD,DIGER_UYG_ID)VALUES(101,0,0,'Firma Cihaz Tip','',null,null);</v>
      </c>
      <c r="J2" s="1" t="str">
        <f t="shared" ref="J2:J64" si="0">IF(AND(B2&lt;&gt;"",B2=0),CONCATENATE(" public enum ",E2,"{","
        }"),"")</f>
        <v xml:space="preserve"> public enum FIRMA_CIHAZ_TIP{
        }</v>
      </c>
      <c r="K2" s="1" t="str">
        <f>myfn_bosluklariVeIsaretleridDuzenle(myfn_bosluklariVeIsaretleridDuzenle(IF(B2&lt;&gt;0,CONCATENATE(E2,"=",A2,","),"")))</f>
        <v/>
      </c>
    </row>
    <row r="3" spans="1:11" x14ac:dyDescent="0.25">
      <c r="A3">
        <v>1010001</v>
      </c>
      <c r="B3" s="1">
        <v>101</v>
      </c>
      <c r="C3">
        <v>1</v>
      </c>
      <c r="D3" t="s">
        <v>12</v>
      </c>
      <c r="E3" s="2" t="str">
        <f>myfn_buyuk_harfe_cevir(myfn_turkceToIngilizce(myfn_bosluklariVeIsaretleridDuzenle(D3)))</f>
        <v>QR_MODEL</v>
      </c>
      <c r="H3" s="1"/>
      <c r="I3" s="1" t="str">
        <f t="shared" ref="I3:I67" si="1">IF(AND(B3&lt;&gt;""),CONCATENATE("INSERT INTO t_kod (ID,TIP_ID,SIRA,KOD,KISA_AD,DIGER_UYG_ENUM_AD,DIGER_UYG_ID)VALUES(",A3,",",B3,",",C3,,",","'",D3,"'",",","'",F3,"'",",",IF(_xlfn.IFNA(G3,0)&gt;0,CONCATENATE("'",G3,"'"),"null"),",",IF(_xlfn.IFNA(G3,0)&gt;0,CONCATENATE("'",H3,"'"),"null"),");"),"")</f>
        <v>INSERT INTO t_kod (ID,TIP_ID,SIRA,KOD,KISA_AD,DIGER_UYG_ENUM_AD,DIGER_UYG_ID)VALUES(1010001,101,1,'QR Model','',null,null);</v>
      </c>
      <c r="J3" s="1" t="str">
        <f t="shared" si="0"/>
        <v/>
      </c>
      <c r="K3" s="1" t="str">
        <f>myfn_bosluklariVeIsaretleridDuzenle(myfn_bosluklariVeIsaretleridDuzenle(IF(B3&lt;&gt;0,CONCATENATE(E3,"=",A3,","),"")))</f>
        <v>QR_MODEL=1010001,</v>
      </c>
    </row>
    <row r="4" spans="1:11" x14ac:dyDescent="0.25">
      <c r="A4">
        <v>1010002</v>
      </c>
      <c r="B4" s="1">
        <v>101</v>
      </c>
      <c r="C4">
        <v>2</v>
      </c>
      <c r="D4" t="s">
        <v>13</v>
      </c>
      <c r="E4" s="2" t="str">
        <f>myfn_buyuk_harfe_cevir(myfn_turkceToIngilizce(myfn_bosluklariVeIsaretleridDuzenle(D4)))</f>
        <v>MODEL_1</v>
      </c>
      <c r="I4" s="1" t="str">
        <f t="shared" si="1"/>
        <v>INSERT INTO t_kod (ID,TIP_ID,SIRA,KOD,KISA_AD,DIGER_UYG_ENUM_AD,DIGER_UYG_ID)VALUES(1010002,101,2,'Model 1','',null,null);</v>
      </c>
      <c r="J4" s="1" t="str">
        <f t="shared" si="0"/>
        <v/>
      </c>
      <c r="K4" s="1" t="str">
        <f>myfn_bosluklariVeIsaretleridDuzenle(myfn_bosluklariVeIsaretleridDuzenle(IF(B4&lt;&gt;0,CONCATENATE(E4,"=",A4,","),"")))</f>
        <v>MODEL_1=1010002,</v>
      </c>
    </row>
    <row r="5" spans="1:11" x14ac:dyDescent="0.25">
      <c r="A5">
        <v>1020003</v>
      </c>
      <c r="B5" s="1">
        <v>101</v>
      </c>
      <c r="C5">
        <v>3</v>
      </c>
      <c r="D5" t="s">
        <v>14</v>
      </c>
      <c r="E5" s="2" t="str">
        <f>myfn_buyuk_harfe_cevir(myfn_turkceToIngilizce(myfn_bosluklariVeIsaretleridDuzenle(D5)))</f>
        <v>MODEL_2</v>
      </c>
      <c r="I5" s="1" t="str">
        <f t="shared" si="1"/>
        <v>INSERT INTO t_kod (ID,TIP_ID,SIRA,KOD,KISA_AD,DIGER_UYG_ENUM_AD,DIGER_UYG_ID)VALUES(1020003,101,3,'Model 2','',null,null);</v>
      </c>
      <c r="J5" s="1" t="str">
        <f t="shared" si="0"/>
        <v/>
      </c>
      <c r="K5" s="1" t="str">
        <f>myfn_bosluklariVeIsaretleridDuzenle(myfn_bosluklariVeIsaretleridDuzenle(IF(B5&lt;&gt;0,CONCATENATE(E5,"=",A5,","),"")))</f>
        <v>MODEL_2=1020003,</v>
      </c>
    </row>
    <row r="6" spans="1:11" x14ac:dyDescent="0.25">
      <c r="A6">
        <v>1020004</v>
      </c>
      <c r="B6" s="1">
        <v>101</v>
      </c>
      <c r="C6">
        <v>4</v>
      </c>
      <c r="D6" t="s">
        <v>15</v>
      </c>
      <c r="E6" s="2" t="str">
        <f>myfn_buyuk_harfe_cevir(myfn_turkceToIngilizce(myfn_bosluklariVeIsaretleridDuzenle(D6)))</f>
        <v>MODEL_3</v>
      </c>
      <c r="I6" s="1" t="str">
        <f t="shared" si="1"/>
        <v>INSERT INTO t_kod (ID,TIP_ID,SIRA,KOD,KISA_AD,DIGER_UYG_ENUM_AD,DIGER_UYG_ID)VALUES(1020004,101,4,'Model 3','',null,null);</v>
      </c>
      <c r="J6" s="1" t="str">
        <f t="shared" si="0"/>
        <v/>
      </c>
      <c r="K6" s="1" t="str">
        <f>myfn_bosluklariVeIsaretleridDuzenle(myfn_bosluklariVeIsaretleridDuzenle(IF(B6&lt;&gt;0,CONCATENATE(E6,"=",A6,","),"")))</f>
        <v>MODEL_3=1020004,</v>
      </c>
    </row>
    <row r="7" spans="1:11" x14ac:dyDescent="0.25">
      <c r="A7">
        <v>1020005</v>
      </c>
      <c r="B7" s="1">
        <v>101</v>
      </c>
      <c r="C7">
        <v>5</v>
      </c>
      <c r="D7" t="s">
        <v>16</v>
      </c>
      <c r="E7" s="2" t="str">
        <f>myfn_buyuk_harfe_cevir(myfn_turkceToIngilizce(myfn_bosluklariVeIsaretleridDuzenle(D7)))</f>
        <v>MODEL_4</v>
      </c>
      <c r="I7" s="1" t="str">
        <f t="shared" si="1"/>
        <v>INSERT INTO t_kod (ID,TIP_ID,SIRA,KOD,KISA_AD,DIGER_UYG_ENUM_AD,DIGER_UYG_ID)VALUES(1020005,101,5,'Model 4','',null,null);</v>
      </c>
      <c r="J7" s="1" t="str">
        <f t="shared" si="0"/>
        <v/>
      </c>
      <c r="K7" s="1" t="str">
        <f>myfn_bosluklariVeIsaretleridDuzenle(myfn_bosluklariVeIsaretleridDuzenle(IF(B7&lt;&gt;0,CONCATENATE(E7,"=",A7,","),"")))</f>
        <v>MODEL_4=1020005,</v>
      </c>
    </row>
    <row r="8" spans="1:11" x14ac:dyDescent="0.25">
      <c r="B8" s="1"/>
      <c r="E8" s="2" t="str">
        <f>myfn_buyuk_harfe_cevir(myfn_turkceToIngilizce(myfn_bosluklariVeIsaretleridDuzenle(D8)))</f>
        <v/>
      </c>
      <c r="I8" s="1" t="str">
        <f t="shared" si="1"/>
        <v/>
      </c>
      <c r="J8" s="1"/>
      <c r="K8" s="1" t="str">
        <f>myfn_bosluklariVeIsaretleridDuzenle(myfn_bosluklariVeIsaretleridDuzenle(IF(B8&lt;&gt;0,CONCATENATE(E8,"=",A8,","),"")))</f>
        <v/>
      </c>
    </row>
    <row r="9" spans="1:11" x14ac:dyDescent="0.25">
      <c r="E9" s="2" t="str">
        <f>myfn_buyuk_harfe_cevir(myfn_turkceToIngilizce(myfn_bosluklariVeIsaretleridDuzenle(D9)))</f>
        <v/>
      </c>
      <c r="I9" s="1" t="str">
        <f t="shared" si="1"/>
        <v/>
      </c>
      <c r="J9" s="1"/>
      <c r="K9" s="1" t="str">
        <f>myfn_bosluklariVeIsaretleridDuzenle(myfn_bosluklariVeIsaretleridDuzenle(IF(B9&lt;&gt;0,CONCATENATE(E9,"=",A9,","),"")))</f>
        <v/>
      </c>
    </row>
    <row r="10" spans="1:11" s="1" customFormat="1" x14ac:dyDescent="0.25">
      <c r="E10" s="2"/>
    </row>
    <row r="11" spans="1:11" x14ac:dyDescent="0.25">
      <c r="B11" s="1"/>
      <c r="H11" s="1"/>
      <c r="I11" s="1"/>
      <c r="J11" s="1"/>
      <c r="K11" s="1"/>
    </row>
    <row r="12" spans="1:11" x14ac:dyDescent="0.25">
      <c r="B12" s="1"/>
      <c r="I12" s="1"/>
      <c r="J12" s="1"/>
      <c r="K12" s="1"/>
    </row>
    <row r="13" spans="1:11" x14ac:dyDescent="0.25">
      <c r="B13" s="1"/>
      <c r="I13" s="1"/>
      <c r="J13" s="1"/>
      <c r="K13" s="1"/>
    </row>
    <row r="14" spans="1:11" x14ac:dyDescent="0.25">
      <c r="B14" s="1"/>
      <c r="I14" s="1"/>
      <c r="J14" s="1"/>
      <c r="K14" s="1"/>
    </row>
    <row r="15" spans="1:11" x14ac:dyDescent="0.25">
      <c r="I15" s="1"/>
      <c r="J15" s="1"/>
      <c r="K15" s="1"/>
    </row>
    <row r="16" spans="1:11" s="1" customFormat="1" x14ac:dyDescent="0.25">
      <c r="E16" s="2"/>
    </row>
    <row r="17" spans="2:11" x14ac:dyDescent="0.25">
      <c r="B17" s="1"/>
      <c r="H17" s="1"/>
      <c r="I17" s="1"/>
      <c r="J17" s="1"/>
      <c r="K17" s="1"/>
    </row>
    <row r="18" spans="2:11" x14ac:dyDescent="0.25">
      <c r="B18" s="1"/>
      <c r="I18" s="1"/>
      <c r="J18" s="1"/>
      <c r="K18" s="1"/>
    </row>
    <row r="19" spans="2:11" x14ac:dyDescent="0.25">
      <c r="B19" s="1"/>
      <c r="I19" s="1"/>
      <c r="J19" s="1"/>
      <c r="K19" s="1"/>
    </row>
    <row r="20" spans="2:11" x14ac:dyDescent="0.25">
      <c r="B20" s="1"/>
      <c r="I20" s="1"/>
      <c r="J20" s="1"/>
      <c r="K20" s="1"/>
    </row>
    <row r="21" spans="2:11" x14ac:dyDescent="0.25">
      <c r="B21" s="1"/>
      <c r="I21" s="1"/>
      <c r="J21" s="1"/>
      <c r="K21" s="1"/>
    </row>
    <row r="22" spans="2:11" x14ac:dyDescent="0.25">
      <c r="B22" s="1"/>
      <c r="I22" s="1"/>
      <c r="J22" s="1"/>
      <c r="K22" s="1"/>
    </row>
    <row r="23" spans="2:11" x14ac:dyDescent="0.25">
      <c r="B23" s="1"/>
      <c r="I23" s="1"/>
      <c r="J23" s="1"/>
      <c r="K23" s="1"/>
    </row>
    <row r="24" spans="2:11" x14ac:dyDescent="0.25">
      <c r="B24" s="1"/>
      <c r="I24" s="1"/>
      <c r="J24" s="1"/>
      <c r="K24" s="1"/>
    </row>
    <row r="25" spans="2:11" x14ac:dyDescent="0.25">
      <c r="B25" s="1"/>
      <c r="I25" s="1"/>
      <c r="J25" s="1"/>
      <c r="K25" s="1"/>
    </row>
    <row r="26" spans="2:11" x14ac:dyDescent="0.25">
      <c r="B26" s="1"/>
      <c r="I26" s="1"/>
      <c r="J26" s="1"/>
      <c r="K26" s="1"/>
    </row>
    <row r="27" spans="2:11" x14ac:dyDescent="0.25">
      <c r="B27" s="1"/>
      <c r="I27" s="1"/>
      <c r="J27" s="1"/>
      <c r="K27" s="1"/>
    </row>
    <row r="29" spans="2:11" x14ac:dyDescent="0.25">
      <c r="B29" s="1"/>
      <c r="I29" s="1"/>
      <c r="J29" s="1"/>
      <c r="K29" s="1"/>
    </row>
    <row r="30" spans="2:11" s="1" customFormat="1" x14ac:dyDescent="0.25">
      <c r="E30" s="2"/>
    </row>
    <row r="31" spans="2:11" x14ac:dyDescent="0.25">
      <c r="B31" s="1"/>
      <c r="H31" s="1"/>
      <c r="I31" s="1"/>
      <c r="J31" s="1"/>
      <c r="K31" s="1"/>
    </row>
    <row r="32" spans="2:11" x14ac:dyDescent="0.25">
      <c r="B32" s="1"/>
      <c r="I32" s="1"/>
      <c r="J32" s="1"/>
      <c r="K32" s="1"/>
    </row>
    <row r="33" spans="2:11" x14ac:dyDescent="0.25">
      <c r="B33" s="1"/>
      <c r="I33" s="1"/>
      <c r="J33" s="1"/>
      <c r="K33" s="1"/>
    </row>
    <row r="34" spans="2:11" x14ac:dyDescent="0.25">
      <c r="I34" s="1"/>
      <c r="J34" s="1"/>
      <c r="K34" s="1"/>
    </row>
    <row r="35" spans="2:11" s="1" customFormat="1" x14ac:dyDescent="0.25">
      <c r="E35" s="2"/>
    </row>
    <row r="36" spans="2:11" x14ac:dyDescent="0.25">
      <c r="B36" s="1"/>
      <c r="H36" s="1"/>
      <c r="I36" s="1"/>
      <c r="J36" s="1"/>
      <c r="K36" s="1"/>
    </row>
    <row r="37" spans="2:11" x14ac:dyDescent="0.25">
      <c r="B37" s="1"/>
      <c r="I37" s="1"/>
      <c r="J37" s="1"/>
      <c r="K37" s="1"/>
    </row>
    <row r="38" spans="2:11" x14ac:dyDescent="0.25">
      <c r="E38"/>
      <c r="I38" s="1"/>
      <c r="J38" s="1"/>
      <c r="K38" s="1"/>
    </row>
    <row r="39" spans="2:11" s="1" customFormat="1" x14ac:dyDescent="0.25">
      <c r="E39" s="2"/>
    </row>
    <row r="40" spans="2:11" x14ac:dyDescent="0.25">
      <c r="B40" s="1"/>
      <c r="H40" s="1"/>
      <c r="I40" s="1"/>
      <c r="J40" s="1"/>
      <c r="K40" s="1"/>
    </row>
    <row r="41" spans="2:11" x14ac:dyDescent="0.25">
      <c r="B41" s="1"/>
      <c r="I41" s="1"/>
      <c r="J41" s="1"/>
      <c r="K41" s="1"/>
    </row>
    <row r="42" spans="2:11" x14ac:dyDescent="0.25">
      <c r="B42" s="1"/>
      <c r="I42" s="1"/>
      <c r="J42" s="1"/>
      <c r="K42" s="1"/>
    </row>
    <row r="43" spans="2:11" x14ac:dyDescent="0.25">
      <c r="B43" s="1"/>
      <c r="I43" s="1"/>
      <c r="J43" s="1"/>
      <c r="K43" s="1"/>
    </row>
    <row r="44" spans="2:11" x14ac:dyDescent="0.25">
      <c r="B44" s="1"/>
      <c r="I44" s="1"/>
      <c r="J44" s="1"/>
      <c r="K44" s="1"/>
    </row>
    <row r="45" spans="2:11" x14ac:dyDescent="0.25">
      <c r="B45" s="1"/>
      <c r="I45" s="1"/>
      <c r="J45" s="1"/>
      <c r="K45" s="1"/>
    </row>
    <row r="46" spans="2:11" x14ac:dyDescent="0.25">
      <c r="E46"/>
      <c r="I46" s="1"/>
      <c r="J46" s="1"/>
      <c r="K46" s="1"/>
    </row>
    <row r="47" spans="2:11" s="1" customFormat="1" x14ac:dyDescent="0.25">
      <c r="E47" s="2"/>
    </row>
    <row r="48" spans="2:11" x14ac:dyDescent="0.25">
      <c r="B48" s="1"/>
      <c r="H48" s="1"/>
      <c r="I48" s="1"/>
      <c r="J48" s="1"/>
      <c r="K48" s="1"/>
    </row>
    <row r="49" spans="2:11" x14ac:dyDescent="0.25">
      <c r="B49" s="1"/>
      <c r="I49" s="1"/>
      <c r="J49" s="1"/>
      <c r="K49" s="1"/>
    </row>
    <row r="50" spans="2:11" x14ac:dyDescent="0.25">
      <c r="B50" s="1"/>
      <c r="I50" s="1"/>
      <c r="J50" s="1"/>
      <c r="K50" s="1"/>
    </row>
    <row r="51" spans="2:11" x14ac:dyDescent="0.25">
      <c r="B51" s="1"/>
      <c r="I51" s="1"/>
      <c r="J51" s="1"/>
      <c r="K51" s="1"/>
    </row>
    <row r="52" spans="2:11" x14ac:dyDescent="0.25">
      <c r="B52" s="1"/>
      <c r="I52" s="1"/>
      <c r="J52" s="1"/>
      <c r="K52" s="1"/>
    </row>
    <row r="53" spans="2:11" x14ac:dyDescent="0.25">
      <c r="E53"/>
      <c r="I53" s="1"/>
      <c r="J53" s="1"/>
      <c r="K53" s="1"/>
    </row>
    <row r="54" spans="2:11" x14ac:dyDescent="0.25">
      <c r="E54"/>
      <c r="I54" s="1" t="str">
        <f t="shared" si="1"/>
        <v/>
      </c>
      <c r="J54" s="1" t="str">
        <f t="shared" si="0"/>
        <v/>
      </c>
      <c r="K54" s="1" t="str">
        <f>myfn_bosluklariVeIsaretleridDuzenle(myfn_bosluklariVeIsaretleridDuzenle(IF(B54&lt;&gt;0,CONCATENATE(E54,"=",A54,","),"")))</f>
        <v/>
      </c>
    </row>
    <row r="55" spans="2:11" x14ac:dyDescent="0.25">
      <c r="E55"/>
      <c r="I55" s="1" t="str">
        <f t="shared" si="1"/>
        <v/>
      </c>
      <c r="J55" s="1" t="str">
        <f t="shared" si="0"/>
        <v/>
      </c>
      <c r="K55" s="1" t="str">
        <f>myfn_bosluklariVeIsaretleridDuzenle(myfn_bosluklariVeIsaretleridDuzenle(IF(B55&lt;&gt;0,CONCATENATE(E55,"=",A55,","),"")))</f>
        <v/>
      </c>
    </row>
    <row r="56" spans="2:11" x14ac:dyDescent="0.25">
      <c r="E56"/>
      <c r="I56" s="1" t="str">
        <f t="shared" si="1"/>
        <v/>
      </c>
      <c r="J56" s="1" t="str">
        <f t="shared" si="0"/>
        <v/>
      </c>
      <c r="K56" s="1" t="str">
        <f>myfn_bosluklariVeIsaretleridDuzenle(myfn_bosluklariVeIsaretleridDuzenle(IF(B56&lt;&gt;0,CONCATENATE(E56,"=",A56,","),"")))</f>
        <v/>
      </c>
    </row>
    <row r="57" spans="2:11" x14ac:dyDescent="0.25">
      <c r="E57"/>
      <c r="I57" s="1" t="str">
        <f t="shared" si="1"/>
        <v/>
      </c>
      <c r="J57" s="1" t="str">
        <f t="shared" si="0"/>
        <v/>
      </c>
      <c r="K57" s="1" t="str">
        <f>myfn_bosluklariVeIsaretleridDuzenle(myfn_bosluklariVeIsaretleridDuzenle(IF(B57&lt;&gt;0,CONCATENATE(E57,"=",A57,","),"")))</f>
        <v/>
      </c>
    </row>
    <row r="58" spans="2:11" x14ac:dyDescent="0.25">
      <c r="E58"/>
      <c r="I58" s="1" t="str">
        <f t="shared" si="1"/>
        <v/>
      </c>
      <c r="J58" s="1" t="str">
        <f t="shared" si="0"/>
        <v/>
      </c>
      <c r="K58" s="1" t="str">
        <f>myfn_bosluklariVeIsaretleridDuzenle(myfn_bosluklariVeIsaretleridDuzenle(IF(B58&lt;&gt;0,CONCATENATE(E58,"=",A58,","),"")))</f>
        <v/>
      </c>
    </row>
    <row r="59" spans="2:11" x14ac:dyDescent="0.25">
      <c r="E59"/>
      <c r="I59" s="1" t="str">
        <f t="shared" si="1"/>
        <v/>
      </c>
      <c r="J59" s="1" t="str">
        <f t="shared" si="0"/>
        <v/>
      </c>
      <c r="K59" s="1" t="str">
        <f>myfn_bosluklariVeIsaretleridDuzenle(myfn_bosluklariVeIsaretleridDuzenle(IF(B59&lt;&gt;0,CONCATENATE(E59,"=",A59,","),"")))</f>
        <v/>
      </c>
    </row>
    <row r="60" spans="2:11" x14ac:dyDescent="0.25">
      <c r="E60"/>
      <c r="I60" s="1" t="str">
        <f t="shared" si="1"/>
        <v/>
      </c>
      <c r="J60" s="1" t="str">
        <f t="shared" si="0"/>
        <v/>
      </c>
      <c r="K60" s="1" t="str">
        <f>myfn_bosluklariVeIsaretleridDuzenle(myfn_bosluklariVeIsaretleridDuzenle(IF(B60&lt;&gt;0,CONCATENATE(E60,"=",A60,","),"")))</f>
        <v/>
      </c>
    </row>
    <row r="61" spans="2:11" x14ac:dyDescent="0.25">
      <c r="E61"/>
      <c r="I61" s="1" t="str">
        <f t="shared" si="1"/>
        <v/>
      </c>
      <c r="J61" s="1" t="str">
        <f t="shared" si="0"/>
        <v/>
      </c>
      <c r="K61" s="1" t="str">
        <f>myfn_bosluklariVeIsaretleridDuzenle(myfn_bosluklariVeIsaretleridDuzenle(IF(B61&lt;&gt;0,CONCATENATE(E61,"=",A61,","),"")))</f>
        <v/>
      </c>
    </row>
    <row r="62" spans="2:11" x14ac:dyDescent="0.25">
      <c r="E62"/>
      <c r="I62" s="1" t="str">
        <f t="shared" si="1"/>
        <v/>
      </c>
      <c r="J62" s="1" t="str">
        <f t="shared" si="0"/>
        <v/>
      </c>
      <c r="K62" s="1" t="str">
        <f>myfn_bosluklariVeIsaretleridDuzenle(myfn_bosluklariVeIsaretleridDuzenle(IF(B62&lt;&gt;0,CONCATENATE(E62,"=",A62,","),"")))</f>
        <v/>
      </c>
    </row>
    <row r="63" spans="2:11" x14ac:dyDescent="0.25">
      <c r="E63"/>
      <c r="I63" s="1" t="str">
        <f t="shared" si="1"/>
        <v/>
      </c>
      <c r="J63" s="1" t="str">
        <f t="shared" si="0"/>
        <v/>
      </c>
      <c r="K63" s="1" t="str">
        <f>myfn_bosluklariVeIsaretleridDuzenle(myfn_bosluklariVeIsaretleridDuzenle(IF(B63&lt;&gt;0,CONCATENATE(E63,"=",A63,","),"")))</f>
        <v/>
      </c>
    </row>
    <row r="64" spans="2:11" x14ac:dyDescent="0.25">
      <c r="E64"/>
      <c r="I64" s="1" t="str">
        <f t="shared" si="1"/>
        <v/>
      </c>
      <c r="J64" s="1" t="str">
        <f t="shared" si="0"/>
        <v/>
      </c>
      <c r="K64" s="1" t="str">
        <f>myfn_bosluklariVeIsaretleridDuzenle(myfn_bosluklariVeIsaretleridDuzenle(IF(B64&lt;&gt;0,CONCATENATE(E64,"=",A64,","),"")))</f>
        <v/>
      </c>
    </row>
    <row r="65" spans="5:11" x14ac:dyDescent="0.25">
      <c r="E65"/>
      <c r="I65" s="1" t="str">
        <f t="shared" si="1"/>
        <v/>
      </c>
      <c r="J65" s="1" t="str">
        <f t="shared" ref="J65:J128" si="2">IF(AND(B65&lt;&gt;"",B65=0),CONCATENATE(" public enum ",E65,"{","
        }"),"")</f>
        <v/>
      </c>
      <c r="K65" s="1" t="str">
        <f>myfn_bosluklariVeIsaretleridDuzenle(myfn_bosluklariVeIsaretleridDuzenle(IF(B65&lt;&gt;0,CONCATENATE(E65,"=",A65,","),"")))</f>
        <v/>
      </c>
    </row>
    <row r="66" spans="5:11" x14ac:dyDescent="0.25">
      <c r="E66"/>
      <c r="I66" s="1" t="str">
        <f t="shared" si="1"/>
        <v/>
      </c>
      <c r="J66" s="1" t="str">
        <f t="shared" si="2"/>
        <v/>
      </c>
      <c r="K66" s="1" t="str">
        <f>myfn_bosluklariVeIsaretleridDuzenle(myfn_bosluklariVeIsaretleridDuzenle(IF(B66&lt;&gt;0,CONCATENATE(E66,"=",A66,","),"")))</f>
        <v/>
      </c>
    </row>
    <row r="67" spans="5:11" x14ac:dyDescent="0.25">
      <c r="E67"/>
      <c r="I67" s="1" t="str">
        <f t="shared" si="1"/>
        <v/>
      </c>
      <c r="J67" s="1" t="str">
        <f t="shared" si="2"/>
        <v/>
      </c>
      <c r="K67" s="1" t="str">
        <f>myfn_bosluklariVeIsaretleridDuzenle(myfn_bosluklariVeIsaretleridDuzenle(IF(B67&lt;&gt;0,CONCATENATE(E67,"=",A67,","),"")))</f>
        <v/>
      </c>
    </row>
    <row r="68" spans="5:11" x14ac:dyDescent="0.25">
      <c r="E68"/>
      <c r="I68" s="1" t="str">
        <f t="shared" ref="I68:I131" si="3">IF(AND(B68&lt;&gt;""),CONCATENATE("INSERT INTO t_kod (ID,TIP_ID,SIRA,KOD,KISA_AD,DIGER_UYG_ENUM_AD,DIGER_UYG_ID)VALUES(",A68,",",B68,",",C68,,",","'",D68,"'",",","'",F68,"'",",",IF(_xlfn.IFNA(G68,0)&gt;0,CONCATENATE("'",G68,"'"),"null"),",",IF(_xlfn.IFNA(G68,0)&gt;0,CONCATENATE("'",H68,"'"),"null"),");"),"")</f>
        <v/>
      </c>
      <c r="J68" s="1" t="str">
        <f t="shared" si="2"/>
        <v/>
      </c>
      <c r="K68" s="1" t="str">
        <f>myfn_bosluklariVeIsaretleridDuzenle(myfn_bosluklariVeIsaretleridDuzenle(IF(B68&lt;&gt;0,CONCATENATE(E68,"=",A68,","),"")))</f>
        <v/>
      </c>
    </row>
    <row r="69" spans="5:11" x14ac:dyDescent="0.25">
      <c r="E69"/>
      <c r="I69" s="1" t="str">
        <f t="shared" si="3"/>
        <v/>
      </c>
      <c r="J69" s="1" t="str">
        <f t="shared" si="2"/>
        <v/>
      </c>
      <c r="K69" s="1" t="str">
        <f>myfn_bosluklariVeIsaretleridDuzenle(myfn_bosluklariVeIsaretleridDuzenle(IF(B69&lt;&gt;0,CONCATENATE(E69,"=",A69,","),"")))</f>
        <v/>
      </c>
    </row>
    <row r="70" spans="5:11" x14ac:dyDescent="0.25">
      <c r="E70"/>
      <c r="I70" s="1" t="str">
        <f t="shared" si="3"/>
        <v/>
      </c>
      <c r="J70" s="1" t="str">
        <f t="shared" si="2"/>
        <v/>
      </c>
      <c r="K70" s="1" t="str">
        <f>myfn_bosluklariVeIsaretleridDuzenle(myfn_bosluklariVeIsaretleridDuzenle(IF(B70&lt;&gt;0,CONCATENATE(E70,"=",A70,","),"")))</f>
        <v/>
      </c>
    </row>
    <row r="71" spans="5:11" x14ac:dyDescent="0.25">
      <c r="E71"/>
      <c r="I71" s="1" t="str">
        <f t="shared" si="3"/>
        <v/>
      </c>
      <c r="J71" s="1" t="str">
        <f t="shared" si="2"/>
        <v/>
      </c>
      <c r="K71" s="1" t="str">
        <f>myfn_bosluklariVeIsaretleridDuzenle(myfn_bosluklariVeIsaretleridDuzenle(IF(B71&lt;&gt;0,CONCATENATE(E71,"=",A71,","),"")))</f>
        <v/>
      </c>
    </row>
    <row r="72" spans="5:11" x14ac:dyDescent="0.25">
      <c r="E72"/>
      <c r="I72" s="1" t="str">
        <f t="shared" si="3"/>
        <v/>
      </c>
      <c r="J72" s="1" t="str">
        <f t="shared" si="2"/>
        <v/>
      </c>
      <c r="K72" s="1" t="str">
        <f>myfn_bosluklariVeIsaretleridDuzenle(myfn_bosluklariVeIsaretleridDuzenle(IF(B72&lt;&gt;0,CONCATENATE(E72,"=",A72,","),"")))</f>
        <v/>
      </c>
    </row>
    <row r="73" spans="5:11" x14ac:dyDescent="0.25">
      <c r="E73"/>
      <c r="I73" s="1" t="str">
        <f t="shared" si="3"/>
        <v/>
      </c>
      <c r="J73" s="1" t="str">
        <f t="shared" si="2"/>
        <v/>
      </c>
      <c r="K73" s="1" t="str">
        <f>myfn_bosluklariVeIsaretleridDuzenle(myfn_bosluklariVeIsaretleridDuzenle(IF(B73&lt;&gt;0,CONCATENATE(E73,"=",A73,","),"")))</f>
        <v/>
      </c>
    </row>
    <row r="74" spans="5:11" x14ac:dyDescent="0.25">
      <c r="E74"/>
      <c r="I74" s="1" t="str">
        <f t="shared" si="3"/>
        <v/>
      </c>
      <c r="J74" s="1" t="str">
        <f t="shared" si="2"/>
        <v/>
      </c>
      <c r="K74" s="1" t="str">
        <f>myfn_bosluklariVeIsaretleridDuzenle(myfn_bosluklariVeIsaretleridDuzenle(IF(B74&lt;&gt;0,CONCATENATE(E74,"=",A74,","),"")))</f>
        <v/>
      </c>
    </row>
    <row r="75" spans="5:11" x14ac:dyDescent="0.25">
      <c r="E75"/>
      <c r="I75" s="1" t="str">
        <f t="shared" si="3"/>
        <v/>
      </c>
      <c r="J75" s="1" t="str">
        <f t="shared" si="2"/>
        <v/>
      </c>
      <c r="K75" s="1" t="str">
        <f>myfn_bosluklariVeIsaretleridDuzenle(myfn_bosluklariVeIsaretleridDuzenle(IF(B75&lt;&gt;0,CONCATENATE(E75,"=",A75,","),"")))</f>
        <v/>
      </c>
    </row>
    <row r="76" spans="5:11" x14ac:dyDescent="0.25">
      <c r="E76"/>
      <c r="I76" s="1" t="str">
        <f t="shared" si="3"/>
        <v/>
      </c>
      <c r="J76" s="1" t="str">
        <f t="shared" si="2"/>
        <v/>
      </c>
      <c r="K76" s="1" t="str">
        <f>myfn_bosluklariVeIsaretleridDuzenle(myfn_bosluklariVeIsaretleridDuzenle(IF(B76&lt;&gt;0,CONCATENATE(E76,"=",A76,","),"")))</f>
        <v/>
      </c>
    </row>
    <row r="77" spans="5:11" x14ac:dyDescent="0.25">
      <c r="E77"/>
      <c r="I77" s="1" t="str">
        <f t="shared" si="3"/>
        <v/>
      </c>
      <c r="J77" s="1" t="str">
        <f t="shared" si="2"/>
        <v/>
      </c>
      <c r="K77" s="1" t="str">
        <f>myfn_bosluklariVeIsaretleridDuzenle(myfn_bosluklariVeIsaretleridDuzenle(IF(B77&lt;&gt;0,CONCATENATE(E77,"=",A77,","),"")))</f>
        <v/>
      </c>
    </row>
    <row r="78" spans="5:11" x14ac:dyDescent="0.25">
      <c r="E78"/>
      <c r="I78" s="1" t="str">
        <f t="shared" si="3"/>
        <v/>
      </c>
      <c r="J78" s="1" t="str">
        <f t="shared" si="2"/>
        <v/>
      </c>
      <c r="K78" s="1" t="str">
        <f>myfn_bosluklariVeIsaretleridDuzenle(myfn_bosluklariVeIsaretleridDuzenle(IF(B78&lt;&gt;0,CONCATENATE(E78,"=",A78,","),"")))</f>
        <v/>
      </c>
    </row>
    <row r="79" spans="5:11" x14ac:dyDescent="0.25">
      <c r="E79"/>
      <c r="I79" s="1" t="str">
        <f t="shared" si="3"/>
        <v/>
      </c>
      <c r="J79" s="1" t="str">
        <f t="shared" si="2"/>
        <v/>
      </c>
      <c r="K79" s="1" t="str">
        <f>myfn_bosluklariVeIsaretleridDuzenle(myfn_bosluklariVeIsaretleridDuzenle(IF(B79&lt;&gt;0,CONCATENATE(E79,"=",A79,","),"")))</f>
        <v/>
      </c>
    </row>
    <row r="80" spans="5:11" x14ac:dyDescent="0.25">
      <c r="E80"/>
      <c r="I80" s="1" t="str">
        <f t="shared" si="3"/>
        <v/>
      </c>
      <c r="J80" s="1" t="str">
        <f t="shared" si="2"/>
        <v/>
      </c>
      <c r="K80" s="1" t="str">
        <f>myfn_bosluklariVeIsaretleridDuzenle(myfn_bosluklariVeIsaretleridDuzenle(IF(B80&lt;&gt;0,CONCATENATE(E80,"=",A80,","),"")))</f>
        <v/>
      </c>
    </row>
    <row r="81" spans="5:11" x14ac:dyDescent="0.25">
      <c r="E81"/>
      <c r="I81" s="1" t="str">
        <f t="shared" si="3"/>
        <v/>
      </c>
      <c r="J81" s="1" t="str">
        <f t="shared" si="2"/>
        <v/>
      </c>
      <c r="K81" s="1" t="str">
        <f>myfn_bosluklariVeIsaretleridDuzenle(myfn_bosluklariVeIsaretleridDuzenle(IF(B81&lt;&gt;0,CONCATENATE(E81,"=",A81,","),"")))</f>
        <v/>
      </c>
    </row>
    <row r="82" spans="5:11" x14ac:dyDescent="0.25">
      <c r="E82"/>
      <c r="I82" s="1" t="str">
        <f t="shared" si="3"/>
        <v/>
      </c>
      <c r="J82" s="1" t="str">
        <f t="shared" si="2"/>
        <v/>
      </c>
      <c r="K82" s="1" t="str">
        <f>myfn_bosluklariVeIsaretleridDuzenle(myfn_bosluklariVeIsaretleridDuzenle(IF(B82&lt;&gt;0,CONCATENATE(E82,"=",A82,","),"")))</f>
        <v/>
      </c>
    </row>
    <row r="83" spans="5:11" x14ac:dyDescent="0.25">
      <c r="E83"/>
      <c r="I83" s="1" t="str">
        <f t="shared" si="3"/>
        <v/>
      </c>
      <c r="J83" s="1" t="str">
        <f t="shared" si="2"/>
        <v/>
      </c>
      <c r="K83" s="1" t="str">
        <f>myfn_bosluklariVeIsaretleridDuzenle(myfn_bosluklariVeIsaretleridDuzenle(IF(B83&lt;&gt;0,CONCATENATE(E83,"=",A83,","),"")))</f>
        <v/>
      </c>
    </row>
    <row r="84" spans="5:11" x14ac:dyDescent="0.25">
      <c r="E84"/>
      <c r="I84" s="1" t="str">
        <f t="shared" si="3"/>
        <v/>
      </c>
      <c r="J84" s="1" t="str">
        <f t="shared" si="2"/>
        <v/>
      </c>
      <c r="K84" s="1" t="str">
        <f>myfn_bosluklariVeIsaretleridDuzenle(myfn_bosluklariVeIsaretleridDuzenle(IF(B84&lt;&gt;0,CONCATENATE(E84,"=",A84,","),"")))</f>
        <v/>
      </c>
    </row>
    <row r="85" spans="5:11" x14ac:dyDescent="0.25">
      <c r="E85"/>
      <c r="I85" s="1" t="str">
        <f t="shared" si="3"/>
        <v/>
      </c>
      <c r="J85" s="1" t="str">
        <f t="shared" si="2"/>
        <v/>
      </c>
      <c r="K85" s="1" t="str">
        <f>myfn_bosluklariVeIsaretleridDuzenle(myfn_bosluklariVeIsaretleridDuzenle(IF(B85&lt;&gt;0,CONCATENATE(E85,"=",A85,","),"")))</f>
        <v/>
      </c>
    </row>
    <row r="86" spans="5:11" x14ac:dyDescent="0.25">
      <c r="E86"/>
      <c r="I86" s="1" t="str">
        <f t="shared" si="3"/>
        <v/>
      </c>
      <c r="J86" s="1" t="str">
        <f t="shared" si="2"/>
        <v/>
      </c>
      <c r="K86" s="1" t="str">
        <f>myfn_bosluklariVeIsaretleridDuzenle(myfn_bosluklariVeIsaretleridDuzenle(IF(B86&lt;&gt;0,CONCATENATE(E86,"=",A86,","),"")))</f>
        <v/>
      </c>
    </row>
    <row r="87" spans="5:11" x14ac:dyDescent="0.25">
      <c r="E87"/>
      <c r="I87" s="1" t="str">
        <f t="shared" si="3"/>
        <v/>
      </c>
      <c r="J87" s="1" t="str">
        <f t="shared" si="2"/>
        <v/>
      </c>
      <c r="K87" s="1" t="str">
        <f>myfn_bosluklariVeIsaretleridDuzenle(myfn_bosluklariVeIsaretleridDuzenle(IF(B87&lt;&gt;0,CONCATENATE(E87,"=",A87,","),"")))</f>
        <v/>
      </c>
    </row>
    <row r="88" spans="5:11" x14ac:dyDescent="0.25">
      <c r="E88"/>
      <c r="I88" s="1" t="str">
        <f t="shared" si="3"/>
        <v/>
      </c>
      <c r="J88" s="1" t="str">
        <f t="shared" si="2"/>
        <v/>
      </c>
      <c r="K88" s="1" t="str">
        <f>myfn_bosluklariVeIsaretleridDuzenle(myfn_bosluklariVeIsaretleridDuzenle(IF(B88&lt;&gt;0,CONCATENATE(E88,"=",A88,","),"")))</f>
        <v/>
      </c>
    </row>
    <row r="89" spans="5:11" x14ac:dyDescent="0.25">
      <c r="E89"/>
      <c r="I89" s="1" t="str">
        <f t="shared" si="3"/>
        <v/>
      </c>
      <c r="J89" s="1" t="str">
        <f t="shared" si="2"/>
        <v/>
      </c>
      <c r="K89" s="1" t="str">
        <f>myfn_bosluklariVeIsaretleridDuzenle(myfn_bosluklariVeIsaretleridDuzenle(IF(B89&lt;&gt;0,CONCATENATE(E89,"=",A89,","),"")))</f>
        <v/>
      </c>
    </row>
    <row r="90" spans="5:11" x14ac:dyDescent="0.25">
      <c r="E90"/>
      <c r="I90" s="1" t="str">
        <f t="shared" si="3"/>
        <v/>
      </c>
      <c r="J90" s="1" t="str">
        <f t="shared" si="2"/>
        <v/>
      </c>
      <c r="K90" s="1" t="str">
        <f>myfn_bosluklariVeIsaretleridDuzenle(myfn_bosluklariVeIsaretleridDuzenle(IF(B90&lt;&gt;0,CONCATENATE(E90,"=",A90,","),"")))</f>
        <v/>
      </c>
    </row>
    <row r="91" spans="5:11" x14ac:dyDescent="0.25">
      <c r="E91"/>
      <c r="I91" s="1" t="str">
        <f t="shared" si="3"/>
        <v/>
      </c>
      <c r="J91" s="1" t="str">
        <f t="shared" si="2"/>
        <v/>
      </c>
      <c r="K91" s="1" t="str">
        <f>myfn_bosluklariVeIsaretleridDuzenle(myfn_bosluklariVeIsaretleridDuzenle(IF(B91&lt;&gt;0,CONCATENATE(E91,"=",A91,","),"")))</f>
        <v/>
      </c>
    </row>
    <row r="92" spans="5:11" x14ac:dyDescent="0.25">
      <c r="E92"/>
      <c r="I92" s="1" t="str">
        <f t="shared" si="3"/>
        <v/>
      </c>
      <c r="J92" s="1" t="str">
        <f t="shared" si="2"/>
        <v/>
      </c>
      <c r="K92" s="1" t="str">
        <f>myfn_bosluklariVeIsaretleridDuzenle(myfn_bosluklariVeIsaretleridDuzenle(IF(B92&lt;&gt;0,CONCATENATE(E92,"=",A92,","),"")))</f>
        <v/>
      </c>
    </row>
    <row r="93" spans="5:11" x14ac:dyDescent="0.25">
      <c r="E93"/>
      <c r="I93" s="1" t="str">
        <f t="shared" si="3"/>
        <v/>
      </c>
      <c r="J93" s="1" t="str">
        <f t="shared" si="2"/>
        <v/>
      </c>
      <c r="K93" s="1" t="str">
        <f>myfn_bosluklariVeIsaretleridDuzenle(myfn_bosluklariVeIsaretleridDuzenle(IF(B93&lt;&gt;0,CONCATENATE(E93,"=",A93,","),"")))</f>
        <v/>
      </c>
    </row>
    <row r="94" spans="5:11" x14ac:dyDescent="0.25">
      <c r="E94"/>
      <c r="I94" s="1" t="str">
        <f t="shared" si="3"/>
        <v/>
      </c>
      <c r="J94" s="1" t="str">
        <f t="shared" si="2"/>
        <v/>
      </c>
      <c r="K94" s="1" t="str">
        <f>myfn_bosluklariVeIsaretleridDuzenle(myfn_bosluklariVeIsaretleridDuzenle(IF(B94&lt;&gt;0,CONCATENATE(E94,"=",A94,","),"")))</f>
        <v/>
      </c>
    </row>
    <row r="95" spans="5:11" x14ac:dyDescent="0.25">
      <c r="E95"/>
      <c r="I95" s="1" t="str">
        <f t="shared" si="3"/>
        <v/>
      </c>
      <c r="J95" s="1" t="str">
        <f t="shared" si="2"/>
        <v/>
      </c>
      <c r="K95" s="1" t="str">
        <f>myfn_bosluklariVeIsaretleridDuzenle(myfn_bosluklariVeIsaretleridDuzenle(IF(B95&lt;&gt;0,CONCATENATE(E95,"=",A95,","),"")))</f>
        <v/>
      </c>
    </row>
    <row r="96" spans="5:11" x14ac:dyDescent="0.25">
      <c r="E96"/>
      <c r="I96" s="1" t="str">
        <f t="shared" si="3"/>
        <v/>
      </c>
      <c r="J96" s="1" t="str">
        <f t="shared" si="2"/>
        <v/>
      </c>
      <c r="K96" s="1" t="str">
        <f>myfn_bosluklariVeIsaretleridDuzenle(myfn_bosluklariVeIsaretleridDuzenle(IF(B96&lt;&gt;0,CONCATENATE(E96,"=",A96,","),"")))</f>
        <v/>
      </c>
    </row>
    <row r="97" spans="5:11" x14ac:dyDescent="0.25">
      <c r="E97"/>
      <c r="I97" s="1" t="str">
        <f t="shared" si="3"/>
        <v/>
      </c>
      <c r="J97" s="1" t="str">
        <f t="shared" si="2"/>
        <v/>
      </c>
      <c r="K97" s="1" t="str">
        <f>myfn_bosluklariVeIsaretleridDuzenle(myfn_bosluklariVeIsaretleridDuzenle(IF(B97&lt;&gt;0,CONCATENATE(E97,"=",A97,","),"")))</f>
        <v/>
      </c>
    </row>
    <row r="98" spans="5:11" x14ac:dyDescent="0.25">
      <c r="E98"/>
      <c r="I98" s="1" t="str">
        <f t="shared" si="3"/>
        <v/>
      </c>
      <c r="J98" s="1" t="str">
        <f t="shared" si="2"/>
        <v/>
      </c>
      <c r="K98" s="1" t="str">
        <f>myfn_bosluklariVeIsaretleridDuzenle(myfn_bosluklariVeIsaretleridDuzenle(IF(B98&lt;&gt;0,CONCATENATE(E98,"=",A98,","),"")))</f>
        <v/>
      </c>
    </row>
    <row r="99" spans="5:11" x14ac:dyDescent="0.25">
      <c r="E99"/>
      <c r="I99" s="1" t="str">
        <f t="shared" si="3"/>
        <v/>
      </c>
      <c r="J99" s="1" t="str">
        <f t="shared" si="2"/>
        <v/>
      </c>
      <c r="K99" s="1" t="str">
        <f>myfn_bosluklariVeIsaretleridDuzenle(myfn_bosluklariVeIsaretleridDuzenle(IF(B99&lt;&gt;0,CONCATENATE(E99,"=",A99,","),"")))</f>
        <v/>
      </c>
    </row>
    <row r="100" spans="5:11" x14ac:dyDescent="0.25">
      <c r="E100"/>
      <c r="I100" s="1" t="str">
        <f t="shared" si="3"/>
        <v/>
      </c>
      <c r="J100" s="1" t="str">
        <f t="shared" si="2"/>
        <v/>
      </c>
      <c r="K100" s="1" t="str">
        <f>myfn_bosluklariVeIsaretleridDuzenle(myfn_bosluklariVeIsaretleridDuzenle(IF(B100&lt;&gt;0,CONCATENATE(E100,"=",A100,","),"")))</f>
        <v/>
      </c>
    </row>
    <row r="101" spans="5:11" x14ac:dyDescent="0.25">
      <c r="E101"/>
      <c r="I101" s="1" t="str">
        <f t="shared" si="3"/>
        <v/>
      </c>
      <c r="J101" s="1" t="str">
        <f t="shared" si="2"/>
        <v/>
      </c>
      <c r="K101" s="1" t="str">
        <f>myfn_bosluklariVeIsaretleridDuzenle(myfn_bosluklariVeIsaretleridDuzenle(IF(B101&lt;&gt;0,CONCATENATE(E101,"=",A101,","),"")))</f>
        <v/>
      </c>
    </row>
    <row r="102" spans="5:11" x14ac:dyDescent="0.25">
      <c r="E102"/>
      <c r="I102" s="1" t="str">
        <f t="shared" si="3"/>
        <v/>
      </c>
      <c r="J102" s="1" t="str">
        <f t="shared" si="2"/>
        <v/>
      </c>
      <c r="K102" s="1" t="str">
        <f>myfn_bosluklariVeIsaretleridDuzenle(myfn_bosluklariVeIsaretleridDuzenle(IF(B102&lt;&gt;0,CONCATENATE(E102,"=",A102,","),"")))</f>
        <v/>
      </c>
    </row>
    <row r="103" spans="5:11" x14ac:dyDescent="0.25">
      <c r="E103"/>
      <c r="I103" s="1" t="str">
        <f t="shared" si="3"/>
        <v/>
      </c>
      <c r="J103" s="1" t="str">
        <f t="shared" si="2"/>
        <v/>
      </c>
      <c r="K103" s="1" t="str">
        <f>myfn_bosluklariVeIsaretleridDuzenle(myfn_bosluklariVeIsaretleridDuzenle(IF(B103&lt;&gt;0,CONCATENATE(E103,"=",A103,","),"")))</f>
        <v/>
      </c>
    </row>
    <row r="104" spans="5:11" x14ac:dyDescent="0.25">
      <c r="E104"/>
      <c r="I104" s="1" t="str">
        <f t="shared" si="3"/>
        <v/>
      </c>
      <c r="J104" s="1" t="str">
        <f t="shared" si="2"/>
        <v/>
      </c>
      <c r="K104" s="1" t="str">
        <f>myfn_bosluklariVeIsaretleridDuzenle(myfn_bosluklariVeIsaretleridDuzenle(IF(B104&lt;&gt;0,CONCATENATE(E104,"=",A104,","),"")))</f>
        <v/>
      </c>
    </row>
    <row r="105" spans="5:11" x14ac:dyDescent="0.25">
      <c r="E105"/>
      <c r="I105" s="1" t="str">
        <f t="shared" si="3"/>
        <v/>
      </c>
      <c r="J105" s="1" t="str">
        <f t="shared" si="2"/>
        <v/>
      </c>
      <c r="K105" s="1" t="str">
        <f>myfn_bosluklariVeIsaretleridDuzenle(myfn_bosluklariVeIsaretleridDuzenle(IF(B105&lt;&gt;0,CONCATENATE(E105,"=",A105,","),"")))</f>
        <v/>
      </c>
    </row>
    <row r="106" spans="5:11" x14ac:dyDescent="0.25">
      <c r="E106"/>
      <c r="I106" s="1" t="str">
        <f t="shared" si="3"/>
        <v/>
      </c>
      <c r="J106" s="1" t="str">
        <f t="shared" si="2"/>
        <v/>
      </c>
      <c r="K106" s="1" t="str">
        <f>myfn_bosluklariVeIsaretleridDuzenle(myfn_bosluklariVeIsaretleridDuzenle(IF(B106&lt;&gt;0,CONCATENATE(E106,"=",A106,","),"")))</f>
        <v/>
      </c>
    </row>
    <row r="107" spans="5:11" x14ac:dyDescent="0.25">
      <c r="E107"/>
      <c r="I107" s="1" t="str">
        <f t="shared" si="3"/>
        <v/>
      </c>
      <c r="J107" s="1" t="str">
        <f t="shared" si="2"/>
        <v/>
      </c>
      <c r="K107" s="1" t="str">
        <f>myfn_bosluklariVeIsaretleridDuzenle(myfn_bosluklariVeIsaretleridDuzenle(IF(B107&lt;&gt;0,CONCATENATE(E107,"=",A107,","),"")))</f>
        <v/>
      </c>
    </row>
    <row r="108" spans="5:11" x14ac:dyDescent="0.25">
      <c r="E108"/>
      <c r="I108" s="1" t="str">
        <f t="shared" si="3"/>
        <v/>
      </c>
      <c r="J108" s="1" t="str">
        <f t="shared" si="2"/>
        <v/>
      </c>
      <c r="K108" s="1" t="str">
        <f>myfn_bosluklariVeIsaretleridDuzenle(myfn_bosluklariVeIsaretleridDuzenle(IF(B108&lt;&gt;0,CONCATENATE(E108,"=",A108,","),"")))</f>
        <v/>
      </c>
    </row>
    <row r="109" spans="5:11" x14ac:dyDescent="0.25">
      <c r="E109"/>
      <c r="I109" s="1" t="str">
        <f t="shared" si="3"/>
        <v/>
      </c>
      <c r="J109" s="1" t="str">
        <f t="shared" si="2"/>
        <v/>
      </c>
      <c r="K109" s="1" t="str">
        <f>myfn_bosluklariVeIsaretleridDuzenle(myfn_bosluklariVeIsaretleridDuzenle(IF(B109&lt;&gt;0,CONCATENATE(E109,"=",A109,","),"")))</f>
        <v/>
      </c>
    </row>
    <row r="110" spans="5:11" x14ac:dyDescent="0.25">
      <c r="E110"/>
      <c r="I110" s="1" t="str">
        <f t="shared" si="3"/>
        <v/>
      </c>
      <c r="J110" s="1" t="str">
        <f t="shared" si="2"/>
        <v/>
      </c>
      <c r="K110" s="1" t="str">
        <f>myfn_bosluklariVeIsaretleridDuzenle(myfn_bosluklariVeIsaretleridDuzenle(IF(B110&lt;&gt;0,CONCATENATE(E110,"=",A110,","),"")))</f>
        <v/>
      </c>
    </row>
    <row r="111" spans="5:11" x14ac:dyDescent="0.25">
      <c r="E111"/>
      <c r="I111" s="1" t="str">
        <f t="shared" si="3"/>
        <v/>
      </c>
      <c r="J111" s="1" t="str">
        <f t="shared" si="2"/>
        <v/>
      </c>
      <c r="K111" s="1" t="str">
        <f>myfn_bosluklariVeIsaretleridDuzenle(myfn_bosluklariVeIsaretleridDuzenle(IF(B111&lt;&gt;0,CONCATENATE(E111,"=",A111,","),"")))</f>
        <v/>
      </c>
    </row>
    <row r="112" spans="5:11" x14ac:dyDescent="0.25">
      <c r="E112"/>
      <c r="I112" s="1" t="str">
        <f t="shared" si="3"/>
        <v/>
      </c>
      <c r="J112" s="1" t="str">
        <f t="shared" si="2"/>
        <v/>
      </c>
      <c r="K112" s="1" t="str">
        <f>myfn_bosluklariVeIsaretleridDuzenle(myfn_bosluklariVeIsaretleridDuzenle(IF(B112&lt;&gt;0,CONCATENATE(E112,"=",A112,","),"")))</f>
        <v/>
      </c>
    </row>
    <row r="113" spans="5:11" x14ac:dyDescent="0.25">
      <c r="E113"/>
      <c r="I113" s="1" t="str">
        <f t="shared" si="3"/>
        <v/>
      </c>
      <c r="J113" s="1" t="str">
        <f t="shared" si="2"/>
        <v/>
      </c>
      <c r="K113" s="1" t="str">
        <f>myfn_bosluklariVeIsaretleridDuzenle(myfn_bosluklariVeIsaretleridDuzenle(IF(B113&lt;&gt;0,CONCATENATE(E113,"=",A113,","),"")))</f>
        <v/>
      </c>
    </row>
    <row r="114" spans="5:11" x14ac:dyDescent="0.25">
      <c r="E114"/>
      <c r="I114" s="1" t="str">
        <f t="shared" si="3"/>
        <v/>
      </c>
      <c r="J114" s="1" t="str">
        <f t="shared" si="2"/>
        <v/>
      </c>
      <c r="K114" s="1" t="str">
        <f>myfn_bosluklariVeIsaretleridDuzenle(myfn_bosluklariVeIsaretleridDuzenle(IF(B114&lt;&gt;0,CONCATENATE(E114,"=",A114,","),"")))</f>
        <v/>
      </c>
    </row>
    <row r="115" spans="5:11" x14ac:dyDescent="0.25">
      <c r="E115"/>
      <c r="I115" s="1" t="str">
        <f t="shared" si="3"/>
        <v/>
      </c>
      <c r="J115" s="1" t="str">
        <f t="shared" si="2"/>
        <v/>
      </c>
      <c r="K115" s="1" t="str">
        <f>myfn_bosluklariVeIsaretleridDuzenle(myfn_bosluklariVeIsaretleridDuzenle(IF(B115&lt;&gt;0,CONCATENATE(E115,"=",A115,","),"")))</f>
        <v/>
      </c>
    </row>
    <row r="116" spans="5:11" x14ac:dyDescent="0.25">
      <c r="E116"/>
      <c r="I116" s="1" t="str">
        <f t="shared" si="3"/>
        <v/>
      </c>
      <c r="J116" s="1" t="str">
        <f t="shared" si="2"/>
        <v/>
      </c>
      <c r="K116" s="1" t="str">
        <f>myfn_bosluklariVeIsaretleridDuzenle(myfn_bosluklariVeIsaretleridDuzenle(IF(B116&lt;&gt;0,CONCATENATE(E116,"=",A116,","),"")))</f>
        <v/>
      </c>
    </row>
    <row r="117" spans="5:11" x14ac:dyDescent="0.25">
      <c r="E117"/>
      <c r="I117" s="1" t="str">
        <f t="shared" si="3"/>
        <v/>
      </c>
      <c r="J117" s="1" t="str">
        <f t="shared" si="2"/>
        <v/>
      </c>
      <c r="K117" s="1" t="str">
        <f>myfn_bosluklariVeIsaretleridDuzenle(myfn_bosluklariVeIsaretleridDuzenle(IF(B117&lt;&gt;0,CONCATENATE(E117,"=",A117,","),"")))</f>
        <v/>
      </c>
    </row>
    <row r="118" spans="5:11" x14ac:dyDescent="0.25">
      <c r="E118"/>
      <c r="I118" s="1" t="str">
        <f t="shared" si="3"/>
        <v/>
      </c>
      <c r="J118" s="1" t="str">
        <f t="shared" si="2"/>
        <v/>
      </c>
      <c r="K118" s="1" t="str">
        <f>myfn_bosluklariVeIsaretleridDuzenle(myfn_bosluklariVeIsaretleridDuzenle(IF(B118&lt;&gt;0,CONCATENATE(E118,"=",A118,","),"")))</f>
        <v/>
      </c>
    </row>
    <row r="119" spans="5:11" x14ac:dyDescent="0.25">
      <c r="E119"/>
      <c r="I119" s="1" t="str">
        <f t="shared" si="3"/>
        <v/>
      </c>
      <c r="J119" s="1" t="str">
        <f t="shared" si="2"/>
        <v/>
      </c>
      <c r="K119" s="1" t="str">
        <f>myfn_bosluklariVeIsaretleridDuzenle(myfn_bosluklariVeIsaretleridDuzenle(IF(B119&lt;&gt;0,CONCATENATE(E119,"=",A119,","),"")))</f>
        <v/>
      </c>
    </row>
    <row r="120" spans="5:11" x14ac:dyDescent="0.25">
      <c r="E120"/>
      <c r="I120" s="1" t="str">
        <f t="shared" si="3"/>
        <v/>
      </c>
      <c r="J120" s="1" t="str">
        <f t="shared" si="2"/>
        <v/>
      </c>
      <c r="K120" s="1" t="str">
        <f>myfn_bosluklariVeIsaretleridDuzenle(myfn_bosluklariVeIsaretleridDuzenle(IF(B120&lt;&gt;0,CONCATENATE(E120,"=",A120,","),"")))</f>
        <v/>
      </c>
    </row>
    <row r="121" spans="5:11" x14ac:dyDescent="0.25">
      <c r="E121"/>
      <c r="I121" s="1" t="str">
        <f t="shared" si="3"/>
        <v/>
      </c>
      <c r="J121" s="1" t="str">
        <f t="shared" si="2"/>
        <v/>
      </c>
      <c r="K121" s="1" t="str">
        <f>myfn_bosluklariVeIsaretleridDuzenle(myfn_bosluklariVeIsaretleridDuzenle(IF(B121&lt;&gt;0,CONCATENATE(E121,"=",A121,","),"")))</f>
        <v/>
      </c>
    </row>
    <row r="122" spans="5:11" x14ac:dyDescent="0.25">
      <c r="E122"/>
      <c r="I122" s="1" t="str">
        <f t="shared" si="3"/>
        <v/>
      </c>
      <c r="J122" s="1" t="str">
        <f t="shared" si="2"/>
        <v/>
      </c>
      <c r="K122" s="1" t="str">
        <f>myfn_bosluklariVeIsaretleridDuzenle(myfn_bosluklariVeIsaretleridDuzenle(IF(B122&lt;&gt;0,CONCATENATE(E122,"=",A122,","),"")))</f>
        <v/>
      </c>
    </row>
    <row r="123" spans="5:11" x14ac:dyDescent="0.25">
      <c r="E123"/>
      <c r="I123" s="1" t="str">
        <f t="shared" si="3"/>
        <v/>
      </c>
      <c r="J123" s="1" t="str">
        <f t="shared" si="2"/>
        <v/>
      </c>
      <c r="K123" s="1" t="str">
        <f>myfn_bosluklariVeIsaretleridDuzenle(myfn_bosluklariVeIsaretleridDuzenle(IF(B123&lt;&gt;0,CONCATENATE(E123,"=",A123,","),"")))</f>
        <v/>
      </c>
    </row>
    <row r="124" spans="5:11" x14ac:dyDescent="0.25">
      <c r="E124"/>
      <c r="I124" s="1" t="str">
        <f t="shared" si="3"/>
        <v/>
      </c>
      <c r="J124" s="1" t="str">
        <f t="shared" si="2"/>
        <v/>
      </c>
      <c r="K124" s="1" t="str">
        <f>myfn_bosluklariVeIsaretleridDuzenle(myfn_bosluklariVeIsaretleridDuzenle(IF(B124&lt;&gt;0,CONCATENATE(E124,"=",A124,","),"")))</f>
        <v/>
      </c>
    </row>
    <row r="125" spans="5:11" x14ac:dyDescent="0.25">
      <c r="E125"/>
      <c r="I125" s="1" t="str">
        <f t="shared" si="3"/>
        <v/>
      </c>
      <c r="J125" s="1" t="str">
        <f t="shared" si="2"/>
        <v/>
      </c>
      <c r="K125" s="1" t="str">
        <f>myfn_bosluklariVeIsaretleridDuzenle(myfn_bosluklariVeIsaretleridDuzenle(IF(B125&lt;&gt;0,CONCATENATE(E125,"=",A125,","),"")))</f>
        <v/>
      </c>
    </row>
    <row r="126" spans="5:11" x14ac:dyDescent="0.25">
      <c r="E126"/>
      <c r="I126" s="1" t="str">
        <f t="shared" si="3"/>
        <v/>
      </c>
      <c r="J126" s="1" t="str">
        <f t="shared" si="2"/>
        <v/>
      </c>
      <c r="K126" s="1" t="str">
        <f>myfn_bosluklariVeIsaretleridDuzenle(myfn_bosluklariVeIsaretleridDuzenle(IF(B126&lt;&gt;0,CONCATENATE(E126,"=",A126,","),"")))</f>
        <v/>
      </c>
    </row>
    <row r="127" spans="5:11" x14ac:dyDescent="0.25">
      <c r="E127"/>
      <c r="I127" s="1" t="str">
        <f t="shared" si="3"/>
        <v/>
      </c>
      <c r="J127" s="1" t="str">
        <f t="shared" si="2"/>
        <v/>
      </c>
      <c r="K127" s="1" t="str">
        <f>myfn_bosluklariVeIsaretleridDuzenle(myfn_bosluklariVeIsaretleridDuzenle(IF(B127&lt;&gt;0,CONCATENATE(E127,"=",A127,","),"")))</f>
        <v/>
      </c>
    </row>
    <row r="128" spans="5:11" x14ac:dyDescent="0.25">
      <c r="E128"/>
      <c r="I128" s="1" t="str">
        <f t="shared" si="3"/>
        <v/>
      </c>
      <c r="J128" s="1" t="str">
        <f t="shared" si="2"/>
        <v/>
      </c>
      <c r="K128" s="1" t="str">
        <f>myfn_bosluklariVeIsaretleridDuzenle(myfn_bosluklariVeIsaretleridDuzenle(IF(B128&lt;&gt;0,CONCATENATE(E128,"=",A128,","),"")))</f>
        <v/>
      </c>
    </row>
    <row r="129" spans="5:11" x14ac:dyDescent="0.25">
      <c r="E129"/>
      <c r="I129" s="1" t="str">
        <f t="shared" si="3"/>
        <v/>
      </c>
      <c r="J129" s="1" t="str">
        <f t="shared" ref="J129:J192" si="4">IF(AND(B129&lt;&gt;"",B129=0),CONCATENATE(" public enum ",E129,"{","
        }"),"")</f>
        <v/>
      </c>
      <c r="K129" s="1" t="str">
        <f>myfn_bosluklariVeIsaretleridDuzenle(myfn_bosluklariVeIsaretleridDuzenle(IF(B129&lt;&gt;0,CONCATENATE(E129,"=",A129,","),"")))</f>
        <v/>
      </c>
    </row>
    <row r="130" spans="5:11" x14ac:dyDescent="0.25">
      <c r="E130"/>
      <c r="I130" s="1" t="str">
        <f t="shared" si="3"/>
        <v/>
      </c>
      <c r="J130" s="1" t="str">
        <f t="shared" si="4"/>
        <v/>
      </c>
      <c r="K130" s="1" t="str">
        <f>myfn_bosluklariVeIsaretleridDuzenle(myfn_bosluklariVeIsaretleridDuzenle(IF(B130&lt;&gt;0,CONCATENATE(E130,"=",A130,","),"")))</f>
        <v/>
      </c>
    </row>
    <row r="131" spans="5:11" x14ac:dyDescent="0.25">
      <c r="E131"/>
      <c r="I131" s="1" t="str">
        <f t="shared" si="3"/>
        <v/>
      </c>
      <c r="J131" s="1" t="str">
        <f t="shared" si="4"/>
        <v/>
      </c>
      <c r="K131" s="1" t="str">
        <f>myfn_bosluklariVeIsaretleridDuzenle(myfn_bosluklariVeIsaretleridDuzenle(IF(B131&lt;&gt;0,CONCATENATE(E131,"=",A131,","),"")))</f>
        <v/>
      </c>
    </row>
    <row r="132" spans="5:11" x14ac:dyDescent="0.25">
      <c r="E132"/>
      <c r="I132" s="1" t="str">
        <f t="shared" ref="I132:I195" si="5">IF(AND(B132&lt;&gt;""),CONCATENATE("INSERT INTO t_kod (ID,TIP_ID,SIRA,KOD,KISA_AD,DIGER_UYG_ENUM_AD,DIGER_UYG_ID)VALUES(",A132,",",B132,",",C132,,",","'",D132,"'",",","'",F132,"'",",",IF(_xlfn.IFNA(G132,0)&gt;0,CONCATENATE("'",G132,"'"),"null"),",",IF(_xlfn.IFNA(G132,0)&gt;0,CONCATENATE("'",H132,"'"),"null"),");"),"")</f>
        <v/>
      </c>
      <c r="J132" s="1" t="str">
        <f t="shared" si="4"/>
        <v/>
      </c>
      <c r="K132" s="1" t="str">
        <f>myfn_bosluklariVeIsaretleridDuzenle(myfn_bosluklariVeIsaretleridDuzenle(IF(B132&lt;&gt;0,CONCATENATE(E132,"=",A132,","),"")))</f>
        <v/>
      </c>
    </row>
    <row r="133" spans="5:11" x14ac:dyDescent="0.25">
      <c r="E133"/>
      <c r="I133" s="1" t="str">
        <f t="shared" si="5"/>
        <v/>
      </c>
      <c r="J133" s="1" t="str">
        <f t="shared" si="4"/>
        <v/>
      </c>
      <c r="K133" s="1" t="str">
        <f>myfn_bosluklariVeIsaretleridDuzenle(myfn_bosluklariVeIsaretleridDuzenle(IF(B133&lt;&gt;0,CONCATENATE(E133,"=",A133,","),"")))</f>
        <v/>
      </c>
    </row>
    <row r="134" spans="5:11" x14ac:dyDescent="0.25">
      <c r="E134"/>
      <c r="I134" s="1" t="str">
        <f t="shared" si="5"/>
        <v/>
      </c>
      <c r="J134" s="1" t="str">
        <f t="shared" si="4"/>
        <v/>
      </c>
      <c r="K134" s="1" t="str">
        <f>myfn_bosluklariVeIsaretleridDuzenle(myfn_bosluklariVeIsaretleridDuzenle(IF(B134&lt;&gt;0,CONCATENATE(E134,"=",A134,","),"")))</f>
        <v/>
      </c>
    </row>
    <row r="135" spans="5:11" x14ac:dyDescent="0.25">
      <c r="E135"/>
      <c r="I135" s="1" t="str">
        <f t="shared" si="5"/>
        <v/>
      </c>
      <c r="J135" s="1" t="str">
        <f t="shared" si="4"/>
        <v/>
      </c>
      <c r="K135" s="1" t="str">
        <f>myfn_bosluklariVeIsaretleridDuzenle(myfn_bosluklariVeIsaretleridDuzenle(IF(B135&lt;&gt;0,CONCATENATE(E135,"=",A135,","),"")))</f>
        <v/>
      </c>
    </row>
    <row r="136" spans="5:11" x14ac:dyDescent="0.25">
      <c r="E136"/>
      <c r="I136" s="1" t="str">
        <f t="shared" si="5"/>
        <v/>
      </c>
      <c r="J136" s="1" t="str">
        <f t="shared" si="4"/>
        <v/>
      </c>
      <c r="K136" s="1" t="str">
        <f>myfn_bosluklariVeIsaretleridDuzenle(myfn_bosluklariVeIsaretleridDuzenle(IF(B136&lt;&gt;0,CONCATENATE(E136,"=",A136,","),"")))</f>
        <v/>
      </c>
    </row>
    <row r="137" spans="5:11" x14ac:dyDescent="0.25">
      <c r="E137"/>
      <c r="I137" s="1" t="str">
        <f t="shared" si="5"/>
        <v/>
      </c>
      <c r="J137" s="1" t="str">
        <f t="shared" si="4"/>
        <v/>
      </c>
      <c r="K137" s="1" t="str">
        <f>myfn_bosluklariVeIsaretleridDuzenle(myfn_bosluklariVeIsaretleridDuzenle(IF(B137&lt;&gt;0,CONCATENATE(E137,"=",A137,","),"")))</f>
        <v/>
      </c>
    </row>
    <row r="138" spans="5:11" x14ac:dyDescent="0.25">
      <c r="E138"/>
      <c r="I138" s="1" t="str">
        <f t="shared" si="5"/>
        <v/>
      </c>
      <c r="J138" s="1" t="str">
        <f t="shared" si="4"/>
        <v/>
      </c>
      <c r="K138" s="1" t="str">
        <f>myfn_bosluklariVeIsaretleridDuzenle(myfn_bosluklariVeIsaretleridDuzenle(IF(B138&lt;&gt;0,CONCATENATE(E138,"=",A138,","),"")))</f>
        <v/>
      </c>
    </row>
    <row r="139" spans="5:11" x14ac:dyDescent="0.25">
      <c r="E139"/>
      <c r="I139" s="1" t="str">
        <f t="shared" si="5"/>
        <v/>
      </c>
      <c r="J139" s="1" t="str">
        <f t="shared" si="4"/>
        <v/>
      </c>
      <c r="K139" s="1" t="str">
        <f>myfn_bosluklariVeIsaretleridDuzenle(myfn_bosluklariVeIsaretleridDuzenle(IF(B139&lt;&gt;0,CONCATENATE(E139,"=",A139,","),"")))</f>
        <v/>
      </c>
    </row>
    <row r="140" spans="5:11" x14ac:dyDescent="0.25">
      <c r="E140"/>
      <c r="I140" s="1" t="str">
        <f t="shared" si="5"/>
        <v/>
      </c>
      <c r="J140" s="1" t="str">
        <f t="shared" si="4"/>
        <v/>
      </c>
      <c r="K140" s="1" t="str">
        <f>myfn_bosluklariVeIsaretleridDuzenle(myfn_bosluklariVeIsaretleridDuzenle(IF(B140&lt;&gt;0,CONCATENATE(E140,"=",A140,","),"")))</f>
        <v/>
      </c>
    </row>
    <row r="141" spans="5:11" x14ac:dyDescent="0.25">
      <c r="E141"/>
      <c r="I141" s="1" t="str">
        <f t="shared" si="5"/>
        <v/>
      </c>
      <c r="J141" s="1" t="str">
        <f t="shared" si="4"/>
        <v/>
      </c>
      <c r="K141" s="1" t="str">
        <f>myfn_bosluklariVeIsaretleridDuzenle(myfn_bosluklariVeIsaretleridDuzenle(IF(B141&lt;&gt;0,CONCATENATE(E141,"=",A141,","),"")))</f>
        <v/>
      </c>
    </row>
    <row r="142" spans="5:11" x14ac:dyDescent="0.25">
      <c r="E142"/>
      <c r="I142" s="1" t="str">
        <f t="shared" si="5"/>
        <v/>
      </c>
      <c r="J142" s="1" t="str">
        <f t="shared" si="4"/>
        <v/>
      </c>
      <c r="K142" s="1" t="str">
        <f>myfn_bosluklariVeIsaretleridDuzenle(myfn_bosluklariVeIsaretleridDuzenle(IF(B142&lt;&gt;0,CONCATENATE(E142,"=",A142,","),"")))</f>
        <v/>
      </c>
    </row>
    <row r="143" spans="5:11" x14ac:dyDescent="0.25">
      <c r="E143"/>
      <c r="I143" s="1" t="str">
        <f t="shared" si="5"/>
        <v/>
      </c>
      <c r="J143" s="1" t="str">
        <f t="shared" si="4"/>
        <v/>
      </c>
      <c r="K143" s="1" t="str">
        <f>myfn_bosluklariVeIsaretleridDuzenle(myfn_bosluklariVeIsaretleridDuzenle(IF(B143&lt;&gt;0,CONCATENATE(E143,"=",A143,","),"")))</f>
        <v/>
      </c>
    </row>
    <row r="144" spans="5:11" x14ac:dyDescent="0.25">
      <c r="E144"/>
      <c r="I144" s="1" t="str">
        <f t="shared" si="5"/>
        <v/>
      </c>
      <c r="J144" s="1" t="str">
        <f t="shared" si="4"/>
        <v/>
      </c>
      <c r="K144" s="1" t="str">
        <f>myfn_bosluklariVeIsaretleridDuzenle(myfn_bosluklariVeIsaretleridDuzenle(IF(B144&lt;&gt;0,CONCATENATE(E144,"=",A144,","),"")))</f>
        <v/>
      </c>
    </row>
    <row r="145" spans="5:11" x14ac:dyDescent="0.25">
      <c r="E145"/>
      <c r="I145" s="1" t="str">
        <f t="shared" si="5"/>
        <v/>
      </c>
      <c r="J145" s="1" t="str">
        <f t="shared" si="4"/>
        <v/>
      </c>
      <c r="K145" s="1" t="str">
        <f>myfn_bosluklariVeIsaretleridDuzenle(myfn_bosluklariVeIsaretleridDuzenle(IF(B145&lt;&gt;0,CONCATENATE(E145,"=",A145,","),"")))</f>
        <v/>
      </c>
    </row>
    <row r="146" spans="5:11" x14ac:dyDescent="0.25">
      <c r="E146"/>
      <c r="I146" s="1" t="str">
        <f t="shared" si="5"/>
        <v/>
      </c>
      <c r="J146" s="1" t="str">
        <f t="shared" si="4"/>
        <v/>
      </c>
      <c r="K146" s="1" t="str">
        <f>myfn_bosluklariVeIsaretleridDuzenle(myfn_bosluklariVeIsaretleridDuzenle(IF(B146&lt;&gt;0,CONCATENATE(E146,"=",A146,","),"")))</f>
        <v/>
      </c>
    </row>
    <row r="147" spans="5:11" x14ac:dyDescent="0.25">
      <c r="E147"/>
      <c r="I147" s="1" t="str">
        <f t="shared" si="5"/>
        <v/>
      </c>
      <c r="J147" s="1" t="str">
        <f t="shared" si="4"/>
        <v/>
      </c>
      <c r="K147" s="1" t="str">
        <f>myfn_bosluklariVeIsaretleridDuzenle(myfn_bosluklariVeIsaretleridDuzenle(IF(B147&lt;&gt;0,CONCATENATE(E147,"=",A147,","),"")))</f>
        <v/>
      </c>
    </row>
    <row r="148" spans="5:11" x14ac:dyDescent="0.25">
      <c r="E148"/>
      <c r="I148" s="1" t="str">
        <f t="shared" si="5"/>
        <v/>
      </c>
      <c r="J148" s="1" t="str">
        <f t="shared" si="4"/>
        <v/>
      </c>
      <c r="K148" s="1" t="str">
        <f>myfn_bosluklariVeIsaretleridDuzenle(myfn_bosluklariVeIsaretleridDuzenle(IF(B148&lt;&gt;0,CONCATENATE(E148,"=",A148,","),"")))</f>
        <v/>
      </c>
    </row>
    <row r="149" spans="5:11" x14ac:dyDescent="0.25">
      <c r="E149"/>
      <c r="I149" s="1" t="str">
        <f t="shared" si="5"/>
        <v/>
      </c>
      <c r="J149" s="1" t="str">
        <f t="shared" si="4"/>
        <v/>
      </c>
      <c r="K149" s="1" t="str">
        <f>myfn_bosluklariVeIsaretleridDuzenle(myfn_bosluklariVeIsaretleridDuzenle(IF(B149&lt;&gt;0,CONCATENATE(E149,"=",A149,","),"")))</f>
        <v/>
      </c>
    </row>
    <row r="150" spans="5:11" x14ac:dyDescent="0.25">
      <c r="E150"/>
      <c r="I150" s="1" t="str">
        <f t="shared" si="5"/>
        <v/>
      </c>
      <c r="J150" s="1" t="str">
        <f t="shared" si="4"/>
        <v/>
      </c>
      <c r="K150" s="1" t="str">
        <f>myfn_bosluklariVeIsaretleridDuzenle(myfn_bosluklariVeIsaretleridDuzenle(IF(B150&lt;&gt;0,CONCATENATE(E150,"=",A150,","),"")))</f>
        <v/>
      </c>
    </row>
    <row r="151" spans="5:11" x14ac:dyDescent="0.25">
      <c r="E151"/>
      <c r="I151" s="1" t="str">
        <f t="shared" si="5"/>
        <v/>
      </c>
      <c r="J151" s="1" t="str">
        <f t="shared" si="4"/>
        <v/>
      </c>
      <c r="K151" s="1" t="str">
        <f>myfn_bosluklariVeIsaretleridDuzenle(myfn_bosluklariVeIsaretleridDuzenle(IF(B151&lt;&gt;0,CONCATENATE(E151,"=",A151,","),"")))</f>
        <v/>
      </c>
    </row>
    <row r="152" spans="5:11" x14ac:dyDescent="0.25">
      <c r="E152"/>
      <c r="I152" s="1" t="str">
        <f t="shared" si="5"/>
        <v/>
      </c>
      <c r="J152" s="1" t="str">
        <f t="shared" si="4"/>
        <v/>
      </c>
      <c r="K152" s="1" t="str">
        <f>myfn_bosluklariVeIsaretleridDuzenle(myfn_bosluklariVeIsaretleridDuzenle(IF(B152&lt;&gt;0,CONCATENATE(E152,"=",A152,","),"")))</f>
        <v/>
      </c>
    </row>
    <row r="153" spans="5:11" x14ac:dyDescent="0.25">
      <c r="E153"/>
      <c r="I153" s="1" t="str">
        <f t="shared" si="5"/>
        <v/>
      </c>
      <c r="J153" s="1" t="str">
        <f t="shared" si="4"/>
        <v/>
      </c>
      <c r="K153" s="1" t="str">
        <f>myfn_bosluklariVeIsaretleridDuzenle(myfn_bosluklariVeIsaretleridDuzenle(IF(B153&lt;&gt;0,CONCATENATE(E153,"=",A153,","),"")))</f>
        <v/>
      </c>
    </row>
    <row r="154" spans="5:11" x14ac:dyDescent="0.25">
      <c r="E154"/>
      <c r="I154" s="1" t="str">
        <f t="shared" si="5"/>
        <v/>
      </c>
      <c r="J154" s="1" t="str">
        <f t="shared" si="4"/>
        <v/>
      </c>
      <c r="K154" s="1" t="str">
        <f>myfn_bosluklariVeIsaretleridDuzenle(myfn_bosluklariVeIsaretleridDuzenle(IF(B154&lt;&gt;0,CONCATENATE(E154,"=",A154,","),"")))</f>
        <v/>
      </c>
    </row>
    <row r="155" spans="5:11" x14ac:dyDescent="0.25">
      <c r="E155"/>
      <c r="I155" s="1" t="str">
        <f t="shared" si="5"/>
        <v/>
      </c>
      <c r="J155" s="1" t="str">
        <f t="shared" si="4"/>
        <v/>
      </c>
      <c r="K155" s="1" t="str">
        <f>myfn_bosluklariVeIsaretleridDuzenle(myfn_bosluklariVeIsaretleridDuzenle(IF(B155&lt;&gt;0,CONCATENATE(E155,"=",A155,","),"")))</f>
        <v/>
      </c>
    </row>
    <row r="156" spans="5:11" x14ac:dyDescent="0.25">
      <c r="E156"/>
      <c r="I156" s="1" t="str">
        <f t="shared" si="5"/>
        <v/>
      </c>
      <c r="J156" s="1" t="str">
        <f t="shared" si="4"/>
        <v/>
      </c>
      <c r="K156" s="1" t="str">
        <f>myfn_bosluklariVeIsaretleridDuzenle(myfn_bosluklariVeIsaretleridDuzenle(IF(B156&lt;&gt;0,CONCATENATE(E156,"=",A156,","),"")))</f>
        <v/>
      </c>
    </row>
    <row r="157" spans="5:11" x14ac:dyDescent="0.25">
      <c r="E157"/>
      <c r="I157" s="1" t="str">
        <f t="shared" si="5"/>
        <v/>
      </c>
      <c r="J157" s="1" t="str">
        <f t="shared" si="4"/>
        <v/>
      </c>
      <c r="K157" s="1" t="str">
        <f>myfn_bosluklariVeIsaretleridDuzenle(myfn_bosluklariVeIsaretleridDuzenle(IF(B157&lt;&gt;0,CONCATENATE(E157,"=",A157,","),"")))</f>
        <v/>
      </c>
    </row>
    <row r="158" spans="5:11" x14ac:dyDescent="0.25">
      <c r="E158"/>
      <c r="I158" s="1" t="str">
        <f t="shared" si="5"/>
        <v/>
      </c>
      <c r="J158" s="1" t="str">
        <f t="shared" si="4"/>
        <v/>
      </c>
      <c r="K158" s="1" t="str">
        <f>myfn_bosluklariVeIsaretleridDuzenle(myfn_bosluklariVeIsaretleridDuzenle(IF(B158&lt;&gt;0,CONCATENATE(E158,"=",A158,","),"")))</f>
        <v/>
      </c>
    </row>
    <row r="159" spans="5:11" x14ac:dyDescent="0.25">
      <c r="E159"/>
      <c r="I159" s="1" t="str">
        <f t="shared" si="5"/>
        <v/>
      </c>
      <c r="J159" s="1" t="str">
        <f t="shared" si="4"/>
        <v/>
      </c>
      <c r="K159" s="1" t="str">
        <f>myfn_bosluklariVeIsaretleridDuzenle(myfn_bosluklariVeIsaretleridDuzenle(IF(B159&lt;&gt;0,CONCATENATE(E159,"=",A159,","),"")))</f>
        <v/>
      </c>
    </row>
    <row r="160" spans="5:11" x14ac:dyDescent="0.25">
      <c r="E160"/>
      <c r="I160" s="1" t="str">
        <f t="shared" si="5"/>
        <v/>
      </c>
      <c r="J160" s="1" t="str">
        <f t="shared" si="4"/>
        <v/>
      </c>
      <c r="K160" s="1" t="str">
        <f>myfn_bosluklariVeIsaretleridDuzenle(myfn_bosluklariVeIsaretleridDuzenle(IF(B160&lt;&gt;0,CONCATENATE(E160,"=",A160,","),"")))</f>
        <v/>
      </c>
    </row>
    <row r="161" spans="5:11" x14ac:dyDescent="0.25">
      <c r="E161"/>
      <c r="I161" s="1" t="str">
        <f t="shared" si="5"/>
        <v/>
      </c>
      <c r="J161" s="1" t="str">
        <f t="shared" si="4"/>
        <v/>
      </c>
      <c r="K161" s="1" t="str">
        <f>myfn_bosluklariVeIsaretleridDuzenle(myfn_bosluklariVeIsaretleridDuzenle(IF(B161&lt;&gt;0,CONCATENATE(E161,"=",A161,","),"")))</f>
        <v/>
      </c>
    </row>
    <row r="162" spans="5:11" x14ac:dyDescent="0.25">
      <c r="E162"/>
      <c r="I162" s="1" t="str">
        <f t="shared" si="5"/>
        <v/>
      </c>
      <c r="J162" s="1" t="str">
        <f t="shared" si="4"/>
        <v/>
      </c>
      <c r="K162" s="1" t="str">
        <f>myfn_bosluklariVeIsaretleridDuzenle(myfn_bosluklariVeIsaretleridDuzenle(IF(B162&lt;&gt;0,CONCATENATE(E162,"=",A162,","),"")))</f>
        <v/>
      </c>
    </row>
    <row r="163" spans="5:11" x14ac:dyDescent="0.25">
      <c r="E163"/>
      <c r="I163" s="1" t="str">
        <f t="shared" si="5"/>
        <v/>
      </c>
      <c r="J163" s="1" t="str">
        <f t="shared" si="4"/>
        <v/>
      </c>
      <c r="K163" s="1" t="str">
        <f>myfn_bosluklariVeIsaretleridDuzenle(myfn_bosluklariVeIsaretleridDuzenle(IF(B163&lt;&gt;0,CONCATENATE(E163,"=",A163,","),"")))</f>
        <v/>
      </c>
    </row>
    <row r="164" spans="5:11" x14ac:dyDescent="0.25">
      <c r="E164"/>
      <c r="I164" s="1" t="str">
        <f t="shared" si="5"/>
        <v/>
      </c>
      <c r="J164" s="1" t="str">
        <f t="shared" si="4"/>
        <v/>
      </c>
      <c r="K164" s="1" t="str">
        <f>myfn_bosluklariVeIsaretleridDuzenle(myfn_bosluklariVeIsaretleridDuzenle(IF(B164&lt;&gt;0,CONCATENATE(E164,"=",A164,","),"")))</f>
        <v/>
      </c>
    </row>
    <row r="165" spans="5:11" x14ac:dyDescent="0.25">
      <c r="E165"/>
      <c r="I165" s="1" t="str">
        <f t="shared" si="5"/>
        <v/>
      </c>
      <c r="J165" s="1" t="str">
        <f t="shared" si="4"/>
        <v/>
      </c>
      <c r="K165" s="1" t="str">
        <f>myfn_bosluklariVeIsaretleridDuzenle(myfn_bosluklariVeIsaretleridDuzenle(IF(B165&lt;&gt;0,CONCATENATE(E165,"=",A165,","),"")))</f>
        <v/>
      </c>
    </row>
    <row r="166" spans="5:11" x14ac:dyDescent="0.25">
      <c r="E166"/>
      <c r="I166" s="1" t="str">
        <f t="shared" si="5"/>
        <v/>
      </c>
      <c r="J166" s="1" t="str">
        <f t="shared" si="4"/>
        <v/>
      </c>
      <c r="K166" s="1" t="str">
        <f>myfn_bosluklariVeIsaretleridDuzenle(myfn_bosluklariVeIsaretleridDuzenle(IF(B166&lt;&gt;0,CONCATENATE(E166,"=",A166,","),"")))</f>
        <v/>
      </c>
    </row>
    <row r="167" spans="5:11" x14ac:dyDescent="0.25">
      <c r="E167"/>
      <c r="I167" s="1" t="str">
        <f t="shared" si="5"/>
        <v/>
      </c>
      <c r="J167" s="1" t="str">
        <f t="shared" si="4"/>
        <v/>
      </c>
      <c r="K167" s="1" t="str">
        <f>myfn_bosluklariVeIsaretleridDuzenle(myfn_bosluklariVeIsaretleridDuzenle(IF(B167&lt;&gt;0,CONCATENATE(E167,"=",A167,","),"")))</f>
        <v/>
      </c>
    </row>
    <row r="168" spans="5:11" x14ac:dyDescent="0.25">
      <c r="E168"/>
      <c r="I168" s="1" t="str">
        <f t="shared" si="5"/>
        <v/>
      </c>
      <c r="J168" s="1" t="str">
        <f t="shared" si="4"/>
        <v/>
      </c>
      <c r="K168" s="1" t="str">
        <f>myfn_bosluklariVeIsaretleridDuzenle(myfn_bosluklariVeIsaretleridDuzenle(IF(B168&lt;&gt;0,CONCATENATE(E168,"=",A168,","),"")))</f>
        <v/>
      </c>
    </row>
    <row r="169" spans="5:11" x14ac:dyDescent="0.25">
      <c r="E169"/>
      <c r="I169" s="1" t="str">
        <f t="shared" si="5"/>
        <v/>
      </c>
      <c r="J169" s="1" t="str">
        <f t="shared" si="4"/>
        <v/>
      </c>
      <c r="K169" s="1" t="str">
        <f>myfn_bosluklariVeIsaretleridDuzenle(myfn_bosluklariVeIsaretleridDuzenle(IF(B169&lt;&gt;0,CONCATENATE(E169,"=",A169,","),"")))</f>
        <v/>
      </c>
    </row>
    <row r="170" spans="5:11" x14ac:dyDescent="0.25">
      <c r="E170"/>
      <c r="I170" s="1" t="str">
        <f t="shared" si="5"/>
        <v/>
      </c>
      <c r="J170" s="1" t="str">
        <f t="shared" si="4"/>
        <v/>
      </c>
      <c r="K170" s="1" t="str">
        <f>myfn_bosluklariVeIsaretleridDuzenle(myfn_bosluklariVeIsaretleridDuzenle(IF(B170&lt;&gt;0,CONCATENATE(E170,"=",A170,","),"")))</f>
        <v/>
      </c>
    </row>
    <row r="171" spans="5:11" x14ac:dyDescent="0.25">
      <c r="E171"/>
      <c r="I171" s="1" t="str">
        <f t="shared" si="5"/>
        <v/>
      </c>
      <c r="J171" s="1" t="str">
        <f t="shared" si="4"/>
        <v/>
      </c>
      <c r="K171" s="1" t="str">
        <f>myfn_bosluklariVeIsaretleridDuzenle(myfn_bosluklariVeIsaretleridDuzenle(IF(B171&lt;&gt;0,CONCATENATE(E171,"=",A171,","),"")))</f>
        <v/>
      </c>
    </row>
    <row r="172" spans="5:11" x14ac:dyDescent="0.25">
      <c r="E172"/>
      <c r="I172" s="1" t="str">
        <f t="shared" si="5"/>
        <v/>
      </c>
      <c r="J172" s="1" t="str">
        <f t="shared" si="4"/>
        <v/>
      </c>
      <c r="K172" s="1" t="str">
        <f>myfn_bosluklariVeIsaretleridDuzenle(myfn_bosluklariVeIsaretleridDuzenle(IF(B172&lt;&gt;0,CONCATENATE(E172,"=",A172,","),"")))</f>
        <v/>
      </c>
    </row>
    <row r="173" spans="5:11" x14ac:dyDescent="0.25">
      <c r="E173"/>
      <c r="I173" s="1" t="str">
        <f t="shared" si="5"/>
        <v/>
      </c>
      <c r="J173" s="1" t="str">
        <f t="shared" si="4"/>
        <v/>
      </c>
      <c r="K173" s="1" t="str">
        <f>myfn_bosluklariVeIsaretleridDuzenle(myfn_bosluklariVeIsaretleridDuzenle(IF(B173&lt;&gt;0,CONCATENATE(E173,"=",A173,","),"")))</f>
        <v/>
      </c>
    </row>
    <row r="174" spans="5:11" x14ac:dyDescent="0.25">
      <c r="E174"/>
      <c r="I174" s="1" t="str">
        <f t="shared" si="5"/>
        <v/>
      </c>
      <c r="J174" s="1" t="str">
        <f t="shared" si="4"/>
        <v/>
      </c>
      <c r="K174" s="1" t="str">
        <f>myfn_bosluklariVeIsaretleridDuzenle(myfn_bosluklariVeIsaretleridDuzenle(IF(B174&lt;&gt;0,CONCATENATE(E174,"=",A174,","),"")))</f>
        <v/>
      </c>
    </row>
    <row r="175" spans="5:11" x14ac:dyDescent="0.25">
      <c r="E175"/>
      <c r="I175" s="1" t="str">
        <f t="shared" si="5"/>
        <v/>
      </c>
      <c r="J175" s="1" t="str">
        <f t="shared" si="4"/>
        <v/>
      </c>
      <c r="K175" s="1" t="str">
        <f>myfn_bosluklariVeIsaretleridDuzenle(myfn_bosluklariVeIsaretleridDuzenle(IF(B175&lt;&gt;0,CONCATENATE(E175,"=",A175,","),"")))</f>
        <v/>
      </c>
    </row>
    <row r="176" spans="5:11" x14ac:dyDescent="0.25">
      <c r="E176"/>
      <c r="I176" s="1" t="str">
        <f t="shared" si="5"/>
        <v/>
      </c>
      <c r="J176" s="1" t="str">
        <f t="shared" si="4"/>
        <v/>
      </c>
      <c r="K176" s="1" t="str">
        <f>myfn_bosluklariVeIsaretleridDuzenle(myfn_bosluklariVeIsaretleridDuzenle(IF(B176&lt;&gt;0,CONCATENATE(E176,"=",A176,","),"")))</f>
        <v/>
      </c>
    </row>
    <row r="177" spans="5:11" x14ac:dyDescent="0.25">
      <c r="E177"/>
      <c r="I177" s="1" t="str">
        <f t="shared" si="5"/>
        <v/>
      </c>
      <c r="J177" s="1" t="str">
        <f t="shared" si="4"/>
        <v/>
      </c>
      <c r="K177" s="1" t="str">
        <f>myfn_bosluklariVeIsaretleridDuzenle(myfn_bosluklariVeIsaretleridDuzenle(IF(B177&lt;&gt;0,CONCATENATE(E177,"=",A177,","),"")))</f>
        <v/>
      </c>
    </row>
    <row r="178" spans="5:11" x14ac:dyDescent="0.25">
      <c r="E178"/>
      <c r="I178" s="1" t="str">
        <f t="shared" si="5"/>
        <v/>
      </c>
      <c r="J178" s="1" t="str">
        <f t="shared" si="4"/>
        <v/>
      </c>
      <c r="K178" s="1" t="str">
        <f>myfn_bosluklariVeIsaretleridDuzenle(myfn_bosluklariVeIsaretleridDuzenle(IF(B178&lt;&gt;0,CONCATENATE(E178,"=",A178,","),"")))</f>
        <v/>
      </c>
    </row>
    <row r="179" spans="5:11" x14ac:dyDescent="0.25">
      <c r="E179"/>
      <c r="I179" s="1" t="str">
        <f t="shared" si="5"/>
        <v/>
      </c>
      <c r="J179" s="1" t="str">
        <f t="shared" si="4"/>
        <v/>
      </c>
      <c r="K179" s="1" t="str">
        <f>myfn_bosluklariVeIsaretleridDuzenle(myfn_bosluklariVeIsaretleridDuzenle(IF(B179&lt;&gt;0,CONCATENATE(E179,"=",A179,","),"")))</f>
        <v/>
      </c>
    </row>
    <row r="180" spans="5:11" x14ac:dyDescent="0.25">
      <c r="E180"/>
      <c r="I180" s="1" t="str">
        <f t="shared" si="5"/>
        <v/>
      </c>
      <c r="J180" s="1" t="str">
        <f t="shared" si="4"/>
        <v/>
      </c>
      <c r="K180" s="1" t="str">
        <f>myfn_bosluklariVeIsaretleridDuzenle(myfn_bosluklariVeIsaretleridDuzenle(IF(B180&lt;&gt;0,CONCATENATE(E180,"=",A180,","),"")))</f>
        <v/>
      </c>
    </row>
    <row r="181" spans="5:11" x14ac:dyDescent="0.25">
      <c r="E181"/>
      <c r="I181" s="1" t="str">
        <f t="shared" si="5"/>
        <v/>
      </c>
      <c r="J181" s="1" t="str">
        <f t="shared" si="4"/>
        <v/>
      </c>
      <c r="K181" s="1" t="str">
        <f>myfn_bosluklariVeIsaretleridDuzenle(myfn_bosluklariVeIsaretleridDuzenle(IF(B181&lt;&gt;0,CONCATENATE(E181,"=",A181,","),"")))</f>
        <v/>
      </c>
    </row>
    <row r="182" spans="5:11" x14ac:dyDescent="0.25">
      <c r="E182"/>
      <c r="I182" s="1" t="str">
        <f t="shared" si="5"/>
        <v/>
      </c>
      <c r="J182" s="1" t="str">
        <f t="shared" si="4"/>
        <v/>
      </c>
      <c r="K182" s="1" t="str">
        <f>myfn_bosluklariVeIsaretleridDuzenle(myfn_bosluklariVeIsaretleridDuzenle(IF(B182&lt;&gt;0,CONCATENATE(E182,"=",A182,","),"")))</f>
        <v/>
      </c>
    </row>
    <row r="183" spans="5:11" x14ac:dyDescent="0.25">
      <c r="E183"/>
      <c r="I183" s="1" t="str">
        <f t="shared" si="5"/>
        <v/>
      </c>
      <c r="J183" s="1" t="str">
        <f t="shared" si="4"/>
        <v/>
      </c>
      <c r="K183" s="1" t="str">
        <f>myfn_bosluklariVeIsaretleridDuzenle(myfn_bosluklariVeIsaretleridDuzenle(IF(B183&lt;&gt;0,CONCATENATE(E183,"=",A183,","),"")))</f>
        <v/>
      </c>
    </row>
    <row r="184" spans="5:11" x14ac:dyDescent="0.25">
      <c r="E184"/>
      <c r="I184" s="1" t="str">
        <f t="shared" si="5"/>
        <v/>
      </c>
      <c r="J184" s="1" t="str">
        <f t="shared" si="4"/>
        <v/>
      </c>
      <c r="K184" s="1" t="str">
        <f>myfn_bosluklariVeIsaretleridDuzenle(myfn_bosluklariVeIsaretleridDuzenle(IF(B184&lt;&gt;0,CONCATENATE(E184,"=",A184,","),"")))</f>
        <v/>
      </c>
    </row>
    <row r="185" spans="5:11" x14ac:dyDescent="0.25">
      <c r="E185"/>
      <c r="I185" s="1" t="str">
        <f t="shared" si="5"/>
        <v/>
      </c>
      <c r="J185" s="1" t="str">
        <f t="shared" si="4"/>
        <v/>
      </c>
      <c r="K185" s="1" t="str">
        <f>myfn_bosluklariVeIsaretleridDuzenle(myfn_bosluklariVeIsaretleridDuzenle(IF(B185&lt;&gt;0,CONCATENATE(E185,"=",A185,","),"")))</f>
        <v/>
      </c>
    </row>
    <row r="186" spans="5:11" x14ac:dyDescent="0.25">
      <c r="E186"/>
      <c r="I186" s="1" t="str">
        <f t="shared" si="5"/>
        <v/>
      </c>
      <c r="J186" s="1" t="str">
        <f t="shared" si="4"/>
        <v/>
      </c>
      <c r="K186" s="1" t="str">
        <f>myfn_bosluklariVeIsaretleridDuzenle(myfn_bosluklariVeIsaretleridDuzenle(IF(B186&lt;&gt;0,CONCATENATE(E186,"=",A186,","),"")))</f>
        <v/>
      </c>
    </row>
    <row r="187" spans="5:11" x14ac:dyDescent="0.25">
      <c r="E187"/>
      <c r="I187" s="1" t="str">
        <f t="shared" si="5"/>
        <v/>
      </c>
      <c r="J187" s="1" t="str">
        <f t="shared" si="4"/>
        <v/>
      </c>
      <c r="K187" s="1" t="str">
        <f>myfn_bosluklariVeIsaretleridDuzenle(myfn_bosluklariVeIsaretleridDuzenle(IF(B187&lt;&gt;0,CONCATENATE(E187,"=",A187,","),"")))</f>
        <v/>
      </c>
    </row>
    <row r="188" spans="5:11" x14ac:dyDescent="0.25">
      <c r="E188"/>
      <c r="I188" s="1" t="str">
        <f t="shared" si="5"/>
        <v/>
      </c>
      <c r="J188" s="1" t="str">
        <f t="shared" si="4"/>
        <v/>
      </c>
      <c r="K188" s="1" t="str">
        <f>myfn_bosluklariVeIsaretleridDuzenle(myfn_bosluklariVeIsaretleridDuzenle(IF(B188&lt;&gt;0,CONCATENATE(E188,"=",A188,","),"")))</f>
        <v/>
      </c>
    </row>
    <row r="189" spans="5:11" x14ac:dyDescent="0.25">
      <c r="E189"/>
      <c r="I189" s="1" t="str">
        <f t="shared" si="5"/>
        <v/>
      </c>
      <c r="J189" s="1" t="str">
        <f t="shared" si="4"/>
        <v/>
      </c>
      <c r="K189" s="1" t="str">
        <f>myfn_bosluklariVeIsaretleridDuzenle(myfn_bosluklariVeIsaretleridDuzenle(IF(B189&lt;&gt;0,CONCATENATE(E189,"=",A189,","),"")))</f>
        <v/>
      </c>
    </row>
    <row r="190" spans="5:11" x14ac:dyDescent="0.25">
      <c r="E190"/>
      <c r="I190" s="1" t="str">
        <f t="shared" si="5"/>
        <v/>
      </c>
      <c r="J190" s="1" t="str">
        <f t="shared" si="4"/>
        <v/>
      </c>
      <c r="K190" s="1" t="str">
        <f>myfn_bosluklariVeIsaretleridDuzenle(myfn_bosluklariVeIsaretleridDuzenle(IF(B190&lt;&gt;0,CONCATENATE(E190,"=",A190,","),"")))</f>
        <v/>
      </c>
    </row>
    <row r="191" spans="5:11" x14ac:dyDescent="0.25">
      <c r="E191"/>
      <c r="I191" s="1" t="str">
        <f t="shared" si="5"/>
        <v/>
      </c>
      <c r="J191" s="1" t="str">
        <f t="shared" si="4"/>
        <v/>
      </c>
      <c r="K191" s="1" t="str">
        <f>myfn_bosluklariVeIsaretleridDuzenle(myfn_bosluklariVeIsaretleridDuzenle(IF(B191&lt;&gt;0,CONCATENATE(E191,"=",A191,","),"")))</f>
        <v/>
      </c>
    </row>
    <row r="192" spans="5:11" x14ac:dyDescent="0.25">
      <c r="E192"/>
      <c r="I192" s="1" t="str">
        <f t="shared" si="5"/>
        <v/>
      </c>
      <c r="J192" s="1" t="str">
        <f t="shared" si="4"/>
        <v/>
      </c>
      <c r="K192" s="1" t="str">
        <f>myfn_bosluklariVeIsaretleridDuzenle(myfn_bosluklariVeIsaretleridDuzenle(IF(B192&lt;&gt;0,CONCATENATE(E192,"=",A192,","),"")))</f>
        <v/>
      </c>
    </row>
    <row r="193" spans="5:11" x14ac:dyDescent="0.25">
      <c r="E193"/>
      <c r="I193" s="1" t="str">
        <f t="shared" si="5"/>
        <v/>
      </c>
      <c r="J193" s="1" t="str">
        <f t="shared" ref="J193:J213" si="6">IF(AND(B193&lt;&gt;"",B193=0),CONCATENATE(" public enum ",E193,"{","
        }"),"")</f>
        <v/>
      </c>
      <c r="K193" s="1" t="str">
        <f>myfn_bosluklariVeIsaretleridDuzenle(myfn_bosluklariVeIsaretleridDuzenle(IF(B193&lt;&gt;0,CONCATENATE(E193,"=",A193,","),"")))</f>
        <v/>
      </c>
    </row>
    <row r="194" spans="5:11" x14ac:dyDescent="0.25">
      <c r="E194"/>
      <c r="I194" s="1" t="str">
        <f t="shared" si="5"/>
        <v/>
      </c>
      <c r="J194" s="1" t="str">
        <f t="shared" si="6"/>
        <v/>
      </c>
      <c r="K194" s="1" t="str">
        <f>myfn_bosluklariVeIsaretleridDuzenle(myfn_bosluklariVeIsaretleridDuzenle(IF(B194&lt;&gt;0,CONCATENATE(E194,"=",A194,","),"")))</f>
        <v/>
      </c>
    </row>
    <row r="195" spans="5:11" x14ac:dyDescent="0.25">
      <c r="E195"/>
      <c r="I195" s="1" t="str">
        <f t="shared" si="5"/>
        <v/>
      </c>
      <c r="J195" s="1" t="str">
        <f t="shared" si="6"/>
        <v/>
      </c>
      <c r="K195" s="1" t="str">
        <f>myfn_bosluklariVeIsaretleridDuzenle(myfn_bosluklariVeIsaretleridDuzenle(IF(B195&lt;&gt;0,CONCATENATE(E195,"=",A195,","),"")))</f>
        <v/>
      </c>
    </row>
    <row r="196" spans="5:11" x14ac:dyDescent="0.25">
      <c r="E196"/>
      <c r="I196" s="1" t="str">
        <f t="shared" ref="I196:I259" si="7">IF(AND(B196&lt;&gt;""),CONCATENATE("INSERT INTO t_kod (ID,TIP_ID,SIRA,KOD,KISA_AD,DIGER_UYG_ENUM_AD,DIGER_UYG_ID)VALUES(",A196,",",B196,",",C196,,",","'",D196,"'",",","'",F196,"'",",",IF(_xlfn.IFNA(G196,0)&gt;0,CONCATENATE("'",G196,"'"),"null"),",",IF(_xlfn.IFNA(G196,0)&gt;0,CONCATENATE("'",H196,"'"),"null"),");"),"")</f>
        <v/>
      </c>
      <c r="J196" s="1" t="str">
        <f t="shared" si="6"/>
        <v/>
      </c>
      <c r="K196" s="1" t="str">
        <f>myfn_bosluklariVeIsaretleridDuzenle(myfn_bosluklariVeIsaretleridDuzenle(IF(B196&lt;&gt;0,CONCATENATE(E196,"=",A196,","),"")))</f>
        <v/>
      </c>
    </row>
    <row r="197" spans="5:11" x14ac:dyDescent="0.25">
      <c r="E197"/>
      <c r="I197" s="1" t="str">
        <f t="shared" si="7"/>
        <v/>
      </c>
      <c r="J197" s="1" t="str">
        <f t="shared" si="6"/>
        <v/>
      </c>
      <c r="K197" s="1" t="str">
        <f>myfn_bosluklariVeIsaretleridDuzenle(myfn_bosluklariVeIsaretleridDuzenle(IF(B197&lt;&gt;0,CONCATENATE(E197,"=",A197,","),"")))</f>
        <v/>
      </c>
    </row>
    <row r="198" spans="5:11" x14ac:dyDescent="0.25">
      <c r="E198"/>
      <c r="I198" s="1" t="str">
        <f t="shared" si="7"/>
        <v/>
      </c>
      <c r="J198" s="1" t="str">
        <f t="shared" si="6"/>
        <v/>
      </c>
      <c r="K198" s="1" t="str">
        <f>myfn_bosluklariVeIsaretleridDuzenle(myfn_bosluklariVeIsaretleridDuzenle(IF(B198&lt;&gt;0,CONCATENATE(E198,"=",A198,","),"")))</f>
        <v/>
      </c>
    </row>
    <row r="199" spans="5:11" x14ac:dyDescent="0.25">
      <c r="E199"/>
      <c r="I199" s="1" t="str">
        <f t="shared" si="7"/>
        <v/>
      </c>
      <c r="J199" s="1" t="str">
        <f t="shared" si="6"/>
        <v/>
      </c>
      <c r="K199" s="1" t="str">
        <f>myfn_bosluklariVeIsaretleridDuzenle(myfn_bosluklariVeIsaretleridDuzenle(IF(B199&lt;&gt;0,CONCATENATE(E199,"=",A199,","),"")))</f>
        <v/>
      </c>
    </row>
    <row r="200" spans="5:11" x14ac:dyDescent="0.25">
      <c r="E200"/>
      <c r="I200" s="1" t="str">
        <f t="shared" si="7"/>
        <v/>
      </c>
      <c r="J200" s="1" t="str">
        <f t="shared" si="6"/>
        <v/>
      </c>
      <c r="K200" s="1" t="str">
        <f>myfn_bosluklariVeIsaretleridDuzenle(myfn_bosluklariVeIsaretleridDuzenle(IF(B200&lt;&gt;0,CONCATENATE(E200,"=",A200,","),"")))</f>
        <v/>
      </c>
    </row>
    <row r="201" spans="5:11" x14ac:dyDescent="0.25">
      <c r="E201"/>
      <c r="I201" s="1" t="str">
        <f t="shared" si="7"/>
        <v/>
      </c>
      <c r="J201" s="1" t="str">
        <f t="shared" si="6"/>
        <v/>
      </c>
      <c r="K201" s="1" t="str">
        <f>myfn_bosluklariVeIsaretleridDuzenle(myfn_bosluklariVeIsaretleridDuzenle(IF(B201&lt;&gt;0,CONCATENATE(E201,"=",A201,","),"")))</f>
        <v/>
      </c>
    </row>
    <row r="202" spans="5:11" x14ac:dyDescent="0.25">
      <c r="E202"/>
      <c r="I202" s="1" t="str">
        <f t="shared" si="7"/>
        <v/>
      </c>
      <c r="J202" s="1" t="str">
        <f t="shared" si="6"/>
        <v/>
      </c>
      <c r="K202" s="1" t="str">
        <f>myfn_bosluklariVeIsaretleridDuzenle(myfn_bosluklariVeIsaretleridDuzenle(IF(B202&lt;&gt;0,CONCATENATE(E202,"=",A202,","),"")))</f>
        <v/>
      </c>
    </row>
    <row r="203" spans="5:11" x14ac:dyDescent="0.25">
      <c r="E203"/>
      <c r="I203" s="1" t="str">
        <f t="shared" si="7"/>
        <v/>
      </c>
      <c r="J203" s="1" t="str">
        <f t="shared" si="6"/>
        <v/>
      </c>
      <c r="K203" s="1" t="str">
        <f>myfn_bosluklariVeIsaretleridDuzenle(myfn_bosluklariVeIsaretleridDuzenle(IF(B203&lt;&gt;0,CONCATENATE(E203,"=",A203,","),"")))</f>
        <v/>
      </c>
    </row>
    <row r="204" spans="5:11" x14ac:dyDescent="0.25">
      <c r="E204"/>
      <c r="I204" s="1" t="str">
        <f t="shared" si="7"/>
        <v/>
      </c>
      <c r="J204" s="1" t="str">
        <f t="shared" si="6"/>
        <v/>
      </c>
    </row>
    <row r="205" spans="5:11" x14ac:dyDescent="0.25">
      <c r="E205"/>
      <c r="I205" s="1" t="str">
        <f t="shared" si="7"/>
        <v/>
      </c>
      <c r="J205" s="1" t="str">
        <f t="shared" si="6"/>
        <v/>
      </c>
    </row>
    <row r="206" spans="5:11" x14ac:dyDescent="0.25">
      <c r="E206"/>
      <c r="I206" s="1" t="str">
        <f t="shared" si="7"/>
        <v/>
      </c>
      <c r="J206" s="1" t="str">
        <f t="shared" si="6"/>
        <v/>
      </c>
    </row>
    <row r="207" spans="5:11" x14ac:dyDescent="0.25">
      <c r="E207"/>
      <c r="I207" s="1" t="str">
        <f t="shared" si="7"/>
        <v/>
      </c>
      <c r="J207" s="1" t="str">
        <f t="shared" si="6"/>
        <v/>
      </c>
    </row>
    <row r="208" spans="5:11" x14ac:dyDescent="0.25">
      <c r="E208"/>
      <c r="I208" s="1" t="str">
        <f t="shared" si="7"/>
        <v/>
      </c>
      <c r="J208" s="1" t="str">
        <f t="shared" si="6"/>
        <v/>
      </c>
    </row>
    <row r="209" spans="5:10" x14ac:dyDescent="0.25">
      <c r="E209"/>
      <c r="I209" s="1" t="str">
        <f t="shared" si="7"/>
        <v/>
      </c>
      <c r="J209" s="1" t="str">
        <f t="shared" si="6"/>
        <v/>
      </c>
    </row>
    <row r="210" spans="5:10" x14ac:dyDescent="0.25">
      <c r="E210"/>
      <c r="I210" s="1" t="str">
        <f t="shared" si="7"/>
        <v/>
      </c>
      <c r="J210" s="1" t="str">
        <f t="shared" si="6"/>
        <v/>
      </c>
    </row>
    <row r="211" spans="5:10" x14ac:dyDescent="0.25">
      <c r="E211"/>
      <c r="I211" s="1" t="str">
        <f t="shared" si="7"/>
        <v/>
      </c>
      <c r="J211" s="1" t="str">
        <f t="shared" si="6"/>
        <v/>
      </c>
    </row>
    <row r="212" spans="5:10" x14ac:dyDescent="0.25">
      <c r="E212"/>
      <c r="I212" s="1" t="str">
        <f t="shared" si="7"/>
        <v/>
      </c>
      <c r="J212" s="1" t="str">
        <f t="shared" si="6"/>
        <v/>
      </c>
    </row>
    <row r="213" spans="5:10" x14ac:dyDescent="0.25">
      <c r="E213"/>
      <c r="I213" s="1" t="str">
        <f t="shared" si="7"/>
        <v/>
      </c>
      <c r="J213" s="1" t="str">
        <f t="shared" si="6"/>
        <v/>
      </c>
    </row>
    <row r="214" spans="5:10" x14ac:dyDescent="0.25">
      <c r="E214"/>
      <c r="I214" s="1" t="str">
        <f t="shared" si="7"/>
        <v/>
      </c>
    </row>
    <row r="215" spans="5:10" x14ac:dyDescent="0.25">
      <c r="E215"/>
      <c r="I215" s="1" t="str">
        <f t="shared" si="7"/>
        <v/>
      </c>
    </row>
    <row r="216" spans="5:10" x14ac:dyDescent="0.25">
      <c r="E216"/>
      <c r="I216" s="1" t="str">
        <f t="shared" si="7"/>
        <v/>
      </c>
    </row>
    <row r="217" spans="5:10" x14ac:dyDescent="0.25">
      <c r="E217"/>
      <c r="I217" s="1" t="str">
        <f t="shared" si="7"/>
        <v/>
      </c>
    </row>
    <row r="218" spans="5:10" x14ac:dyDescent="0.25">
      <c r="E218"/>
      <c r="I218" s="1" t="str">
        <f t="shared" si="7"/>
        <v/>
      </c>
    </row>
    <row r="219" spans="5:10" x14ac:dyDescent="0.25">
      <c r="E219"/>
      <c r="I219" s="1" t="str">
        <f t="shared" si="7"/>
        <v/>
      </c>
    </row>
    <row r="220" spans="5:10" x14ac:dyDescent="0.25">
      <c r="E220"/>
      <c r="I220" s="1" t="str">
        <f t="shared" si="7"/>
        <v/>
      </c>
    </row>
    <row r="221" spans="5:10" x14ac:dyDescent="0.25">
      <c r="E221"/>
      <c r="I221" s="1" t="str">
        <f t="shared" si="7"/>
        <v/>
      </c>
    </row>
    <row r="222" spans="5:10" x14ac:dyDescent="0.25">
      <c r="E222"/>
      <c r="I222" s="1" t="str">
        <f t="shared" si="7"/>
        <v/>
      </c>
    </row>
    <row r="223" spans="5:10" x14ac:dyDescent="0.25">
      <c r="E223"/>
      <c r="I223" s="1" t="str">
        <f t="shared" si="7"/>
        <v/>
      </c>
    </row>
    <row r="224" spans="5:10" x14ac:dyDescent="0.25">
      <c r="E224"/>
      <c r="I224" s="1" t="str">
        <f t="shared" si="7"/>
        <v/>
      </c>
    </row>
    <row r="225" spans="5:9" x14ac:dyDescent="0.25">
      <c r="E225"/>
      <c r="I225" s="1" t="str">
        <f t="shared" si="7"/>
        <v/>
      </c>
    </row>
    <row r="226" spans="5:9" x14ac:dyDescent="0.25">
      <c r="E226"/>
      <c r="I226" s="1" t="str">
        <f t="shared" si="7"/>
        <v/>
      </c>
    </row>
    <row r="227" spans="5:9" x14ac:dyDescent="0.25">
      <c r="E227"/>
      <c r="I227" s="1" t="str">
        <f t="shared" si="7"/>
        <v/>
      </c>
    </row>
    <row r="228" spans="5:9" x14ac:dyDescent="0.25">
      <c r="E228"/>
      <c r="I228" s="1" t="str">
        <f t="shared" si="7"/>
        <v/>
      </c>
    </row>
    <row r="229" spans="5:9" x14ac:dyDescent="0.25">
      <c r="E229"/>
      <c r="I229" s="1" t="str">
        <f t="shared" si="7"/>
        <v/>
      </c>
    </row>
    <row r="230" spans="5:9" x14ac:dyDescent="0.25">
      <c r="E230"/>
      <c r="I230" s="1" t="str">
        <f t="shared" si="7"/>
        <v/>
      </c>
    </row>
    <row r="231" spans="5:9" x14ac:dyDescent="0.25">
      <c r="E231"/>
      <c r="I231" s="1" t="str">
        <f t="shared" si="7"/>
        <v/>
      </c>
    </row>
    <row r="232" spans="5:9" x14ac:dyDescent="0.25">
      <c r="E232"/>
      <c r="I232" s="1" t="str">
        <f t="shared" si="7"/>
        <v/>
      </c>
    </row>
    <row r="233" spans="5:9" x14ac:dyDescent="0.25">
      <c r="E233"/>
      <c r="I233" s="1" t="str">
        <f t="shared" si="7"/>
        <v/>
      </c>
    </row>
    <row r="234" spans="5:9" x14ac:dyDescent="0.25">
      <c r="E234"/>
      <c r="I234" s="1" t="str">
        <f t="shared" si="7"/>
        <v/>
      </c>
    </row>
    <row r="235" spans="5:9" x14ac:dyDescent="0.25">
      <c r="E235"/>
      <c r="I235" s="1" t="str">
        <f t="shared" si="7"/>
        <v/>
      </c>
    </row>
    <row r="236" spans="5:9" x14ac:dyDescent="0.25">
      <c r="E236"/>
      <c r="I236" s="1" t="str">
        <f t="shared" si="7"/>
        <v/>
      </c>
    </row>
    <row r="237" spans="5:9" x14ac:dyDescent="0.25">
      <c r="E237"/>
      <c r="I237" s="1" t="str">
        <f t="shared" si="7"/>
        <v/>
      </c>
    </row>
    <row r="238" spans="5:9" x14ac:dyDescent="0.25">
      <c r="E238"/>
      <c r="I238" s="1" t="str">
        <f t="shared" si="7"/>
        <v/>
      </c>
    </row>
    <row r="239" spans="5:9" x14ac:dyDescent="0.25">
      <c r="E239"/>
      <c r="I239" s="1" t="str">
        <f t="shared" si="7"/>
        <v/>
      </c>
    </row>
    <row r="240" spans="5:9" x14ac:dyDescent="0.25">
      <c r="E240"/>
      <c r="I240" s="1" t="str">
        <f t="shared" si="7"/>
        <v/>
      </c>
    </row>
    <row r="241" spans="5:9" x14ac:dyDescent="0.25">
      <c r="E241"/>
      <c r="I241" s="1" t="str">
        <f t="shared" si="7"/>
        <v/>
      </c>
    </row>
    <row r="242" spans="5:9" x14ac:dyDescent="0.25">
      <c r="E242"/>
      <c r="I242" s="1" t="str">
        <f t="shared" si="7"/>
        <v/>
      </c>
    </row>
    <row r="243" spans="5:9" x14ac:dyDescent="0.25">
      <c r="E243"/>
      <c r="I243" s="1" t="str">
        <f t="shared" si="7"/>
        <v/>
      </c>
    </row>
    <row r="244" spans="5:9" x14ac:dyDescent="0.25">
      <c r="E244"/>
      <c r="I244" s="1" t="str">
        <f t="shared" si="7"/>
        <v/>
      </c>
    </row>
    <row r="245" spans="5:9" x14ac:dyDescent="0.25">
      <c r="E245"/>
      <c r="I245" s="1" t="str">
        <f t="shared" si="7"/>
        <v/>
      </c>
    </row>
    <row r="246" spans="5:9" x14ac:dyDescent="0.25">
      <c r="E246"/>
      <c r="I246" s="1" t="str">
        <f t="shared" si="7"/>
        <v/>
      </c>
    </row>
    <row r="247" spans="5:9" x14ac:dyDescent="0.25">
      <c r="E247"/>
      <c r="I247" s="1" t="str">
        <f t="shared" si="7"/>
        <v/>
      </c>
    </row>
    <row r="248" spans="5:9" x14ac:dyDescent="0.25">
      <c r="E248"/>
      <c r="I248" s="1" t="str">
        <f t="shared" si="7"/>
        <v/>
      </c>
    </row>
    <row r="249" spans="5:9" x14ac:dyDescent="0.25">
      <c r="E249"/>
      <c r="I249" s="1" t="str">
        <f t="shared" si="7"/>
        <v/>
      </c>
    </row>
    <row r="250" spans="5:9" x14ac:dyDescent="0.25">
      <c r="E250"/>
      <c r="I250" s="1" t="str">
        <f t="shared" si="7"/>
        <v/>
      </c>
    </row>
    <row r="251" spans="5:9" x14ac:dyDescent="0.25">
      <c r="E251"/>
      <c r="I251" s="1" t="str">
        <f t="shared" si="7"/>
        <v/>
      </c>
    </row>
    <row r="252" spans="5:9" x14ac:dyDescent="0.25">
      <c r="E252"/>
      <c r="I252" s="1" t="str">
        <f t="shared" si="7"/>
        <v/>
      </c>
    </row>
    <row r="253" spans="5:9" x14ac:dyDescent="0.25">
      <c r="E253"/>
      <c r="I253" s="1" t="str">
        <f t="shared" si="7"/>
        <v/>
      </c>
    </row>
    <row r="254" spans="5:9" x14ac:dyDescent="0.25">
      <c r="E254"/>
      <c r="I254" s="1" t="str">
        <f t="shared" si="7"/>
        <v/>
      </c>
    </row>
    <row r="255" spans="5:9" x14ac:dyDescent="0.25">
      <c r="E255"/>
      <c r="I255" s="1" t="str">
        <f t="shared" si="7"/>
        <v/>
      </c>
    </row>
    <row r="256" spans="5:9" x14ac:dyDescent="0.25">
      <c r="E256"/>
      <c r="I256" s="1" t="str">
        <f t="shared" si="7"/>
        <v/>
      </c>
    </row>
    <row r="257" spans="5:9" x14ac:dyDescent="0.25">
      <c r="E257"/>
      <c r="I257" s="1" t="str">
        <f t="shared" si="7"/>
        <v/>
      </c>
    </row>
    <row r="258" spans="5:9" x14ac:dyDescent="0.25">
      <c r="E258"/>
      <c r="I258" s="1" t="str">
        <f t="shared" si="7"/>
        <v/>
      </c>
    </row>
    <row r="259" spans="5:9" x14ac:dyDescent="0.25">
      <c r="E259"/>
      <c r="I259" s="1" t="str">
        <f t="shared" si="7"/>
        <v/>
      </c>
    </row>
    <row r="260" spans="5:9" x14ac:dyDescent="0.25">
      <c r="E260"/>
      <c r="I260" s="1" t="str">
        <f t="shared" ref="I260:I262" si="8">IF(AND(B260&lt;&gt;""),CONCATENATE("INSERT INTO t_kod (ID,TIP_ID,SIRA,KOD,KISA_AD,DIGER_UYG_ENUM_AD,DIGER_UYG_ID)VALUES(",A260,",",B260,",",C260,,",","'",D260,"'",",","'",F260,"'",",",IF(_xlfn.IFNA(G260,0)&gt;0,CONCATENATE("'",G260,"'"),"null"),",",IF(_xlfn.IFNA(G260,0)&gt;0,CONCATENATE("'",H260,"'"),"null"),");"),"")</f>
        <v/>
      </c>
    </row>
    <row r="261" spans="5:9" x14ac:dyDescent="0.25">
      <c r="E261"/>
      <c r="I261" s="1" t="str">
        <f t="shared" si="8"/>
        <v/>
      </c>
    </row>
    <row r="262" spans="5:9" x14ac:dyDescent="0.25">
      <c r="E262"/>
      <c r="I262" s="1" t="str">
        <f t="shared" si="8"/>
        <v/>
      </c>
    </row>
    <row r="263" spans="5:9" x14ac:dyDescent="0.25">
      <c r="E263"/>
    </row>
    <row r="264" spans="5:9" x14ac:dyDescent="0.25">
      <c r="E264"/>
    </row>
    <row r="265" spans="5:9" x14ac:dyDescent="0.25">
      <c r="E265"/>
    </row>
    <row r="266" spans="5:9" x14ac:dyDescent="0.25">
      <c r="E266"/>
    </row>
    <row r="267" spans="5:9" x14ac:dyDescent="0.25">
      <c r="E267"/>
    </row>
    <row r="268" spans="5:9" x14ac:dyDescent="0.25">
      <c r="E268"/>
    </row>
    <row r="269" spans="5:9" x14ac:dyDescent="0.25">
      <c r="E269"/>
    </row>
    <row r="270" spans="5:9" x14ac:dyDescent="0.25">
      <c r="E270"/>
    </row>
    <row r="271" spans="5:9" x14ac:dyDescent="0.25">
      <c r="E271"/>
    </row>
    <row r="272" spans="5:9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2:11" x14ac:dyDescent="0.25">
      <c r="E513"/>
    </row>
    <row r="514" spans="2:11" x14ac:dyDescent="0.25">
      <c r="E514"/>
    </row>
    <row r="515" spans="2:11" x14ac:dyDescent="0.25">
      <c r="E515"/>
    </row>
    <row r="516" spans="2:11" x14ac:dyDescent="0.25">
      <c r="E516"/>
    </row>
    <row r="517" spans="2:11" x14ac:dyDescent="0.25">
      <c r="E517"/>
    </row>
    <row r="518" spans="2:11" x14ac:dyDescent="0.25">
      <c r="E518"/>
    </row>
    <row r="519" spans="2:11" x14ac:dyDescent="0.25">
      <c r="E519"/>
    </row>
    <row r="520" spans="2:11" x14ac:dyDescent="0.25">
      <c r="E520"/>
    </row>
    <row r="521" spans="2:11" x14ac:dyDescent="0.25">
      <c r="E521"/>
    </row>
    <row r="522" spans="2:11" x14ac:dyDescent="0.25">
      <c r="E522"/>
    </row>
    <row r="523" spans="2:11" x14ac:dyDescent="0.25">
      <c r="E523"/>
    </row>
    <row r="524" spans="2:11" x14ac:dyDescent="0.25">
      <c r="E524"/>
    </row>
    <row r="525" spans="2:11" x14ac:dyDescent="0.25">
      <c r="E525"/>
    </row>
    <row r="526" spans="2:11" x14ac:dyDescent="0.25">
      <c r="B526" s="1"/>
      <c r="I526" s="1"/>
      <c r="J526" s="1"/>
      <c r="K526" s="1"/>
    </row>
    <row r="527" spans="2:11" x14ac:dyDescent="0.25">
      <c r="B527" s="1"/>
      <c r="I527" s="1"/>
      <c r="J527" s="1"/>
      <c r="K527" s="1"/>
    </row>
    <row r="528" spans="2:11" x14ac:dyDescent="0.25">
      <c r="B528" s="1"/>
      <c r="I528" s="1"/>
      <c r="J528" s="1"/>
      <c r="K528" s="1"/>
    </row>
    <row r="529" spans="2:11" x14ac:dyDescent="0.25">
      <c r="B529" s="1"/>
      <c r="I529" s="1"/>
      <c r="J529" s="1"/>
      <c r="K529" s="1"/>
    </row>
    <row r="530" spans="2:11" x14ac:dyDescent="0.25">
      <c r="B530" s="1"/>
      <c r="I530" s="1"/>
      <c r="J530" s="1"/>
      <c r="K530" s="1"/>
    </row>
    <row r="531" spans="2:11" x14ac:dyDescent="0.25">
      <c r="B531" s="1"/>
      <c r="I531" s="1"/>
      <c r="J531" s="1"/>
      <c r="K531" s="1"/>
    </row>
    <row r="532" spans="2:11" x14ac:dyDescent="0.25">
      <c r="B532" s="1"/>
      <c r="I532" s="1"/>
      <c r="J532" s="1"/>
      <c r="K532" s="1"/>
    </row>
    <row r="533" spans="2:11" x14ac:dyDescent="0.25">
      <c r="B533" s="1"/>
      <c r="I533" s="1"/>
      <c r="J533" s="1"/>
      <c r="K533" s="1"/>
    </row>
    <row r="534" spans="2:11" x14ac:dyDescent="0.25">
      <c r="B534" s="1"/>
      <c r="I534" s="1"/>
      <c r="J534" s="1"/>
      <c r="K534" s="1"/>
    </row>
    <row r="535" spans="2:11" x14ac:dyDescent="0.25">
      <c r="B535" s="1"/>
      <c r="I535" s="1"/>
      <c r="J535" s="1"/>
      <c r="K535" s="1"/>
    </row>
    <row r="536" spans="2:11" x14ac:dyDescent="0.25">
      <c r="B536" s="1"/>
      <c r="I536" s="1"/>
      <c r="J536" s="1"/>
      <c r="K536" s="1"/>
    </row>
    <row r="537" spans="2:11" x14ac:dyDescent="0.25">
      <c r="B537" s="1"/>
      <c r="I537" s="1"/>
      <c r="J537" s="1"/>
      <c r="K537" s="1"/>
    </row>
    <row r="538" spans="2:11" x14ac:dyDescent="0.25">
      <c r="B538" s="1"/>
      <c r="I538" s="1"/>
      <c r="J538" s="1"/>
      <c r="K538" s="1"/>
    </row>
    <row r="539" spans="2:11" x14ac:dyDescent="0.25">
      <c r="B539" s="1"/>
      <c r="I539" s="1"/>
      <c r="J539" s="1"/>
      <c r="K539" s="1"/>
    </row>
    <row r="540" spans="2:11" x14ac:dyDescent="0.25">
      <c r="B540" s="1"/>
      <c r="I540" s="1"/>
      <c r="J540" s="1"/>
      <c r="K540" s="1"/>
    </row>
    <row r="541" spans="2:11" x14ac:dyDescent="0.25">
      <c r="B541" s="1"/>
      <c r="I541" s="1"/>
      <c r="J541" s="1"/>
      <c r="K541" s="1"/>
    </row>
    <row r="542" spans="2:11" x14ac:dyDescent="0.25">
      <c r="B542" s="1"/>
      <c r="I542" s="1"/>
      <c r="J542" s="1"/>
      <c r="K542" s="1"/>
    </row>
    <row r="543" spans="2:11" x14ac:dyDescent="0.25">
      <c r="B543" s="1"/>
      <c r="I543" s="1"/>
      <c r="J543" s="1"/>
      <c r="K543" s="1"/>
    </row>
    <row r="544" spans="2:11" x14ac:dyDescent="0.25">
      <c r="B544" s="1"/>
      <c r="I544" s="1"/>
      <c r="J544" s="1"/>
      <c r="K544" s="1"/>
    </row>
    <row r="545" spans="2:11" x14ac:dyDescent="0.25">
      <c r="B545" s="1"/>
      <c r="I545" s="1"/>
      <c r="J545" s="1"/>
      <c r="K545" s="1"/>
    </row>
    <row r="546" spans="2:11" x14ac:dyDescent="0.25">
      <c r="B546" s="1"/>
      <c r="I546" s="1"/>
      <c r="J546" s="1"/>
      <c r="K546" s="1"/>
    </row>
    <row r="547" spans="2:11" x14ac:dyDescent="0.25">
      <c r="B547" s="1"/>
      <c r="I547" s="1"/>
      <c r="J547" s="1"/>
      <c r="K547" s="1"/>
    </row>
    <row r="548" spans="2:11" x14ac:dyDescent="0.25">
      <c r="B548" s="1"/>
      <c r="I548" s="1"/>
      <c r="J548" s="1"/>
      <c r="K548" s="1"/>
    </row>
    <row r="549" spans="2:11" x14ac:dyDescent="0.25">
      <c r="B549" s="1"/>
      <c r="I549" s="1"/>
      <c r="J549" s="1"/>
      <c r="K549" s="1"/>
    </row>
    <row r="550" spans="2:11" x14ac:dyDescent="0.25">
      <c r="B550" s="1"/>
      <c r="I550" s="1"/>
      <c r="J550" s="1"/>
      <c r="K550" s="1"/>
    </row>
    <row r="551" spans="2:11" x14ac:dyDescent="0.25">
      <c r="B551" s="1"/>
      <c r="I551" s="1"/>
      <c r="J551" s="1"/>
      <c r="K551" s="1"/>
    </row>
    <row r="552" spans="2:11" x14ac:dyDescent="0.25">
      <c r="B552" s="1"/>
      <c r="I552" s="1"/>
      <c r="J552" s="1"/>
      <c r="K552" s="1"/>
    </row>
    <row r="553" spans="2:11" x14ac:dyDescent="0.25">
      <c r="B553" s="1"/>
      <c r="I553" s="1"/>
      <c r="J553" s="1"/>
      <c r="K553" s="1"/>
    </row>
    <row r="554" spans="2:11" x14ac:dyDescent="0.25">
      <c r="B554" s="1"/>
      <c r="I554" s="1"/>
      <c r="J554" s="1"/>
      <c r="K554" s="1"/>
    </row>
    <row r="555" spans="2:11" x14ac:dyDescent="0.25">
      <c r="B555" s="1"/>
      <c r="I555" s="1"/>
      <c r="J555" s="1"/>
      <c r="K555" s="1"/>
    </row>
    <row r="556" spans="2:11" x14ac:dyDescent="0.25">
      <c r="B556" s="1"/>
      <c r="I556" s="1"/>
      <c r="J556" s="1"/>
      <c r="K556" s="1"/>
    </row>
    <row r="557" spans="2:11" x14ac:dyDescent="0.25">
      <c r="B557" s="1"/>
      <c r="I557" s="1"/>
      <c r="J557" s="1"/>
      <c r="K557" s="1"/>
    </row>
    <row r="558" spans="2:11" x14ac:dyDescent="0.25">
      <c r="B558" s="1"/>
      <c r="I558" s="1"/>
      <c r="J558" s="1"/>
      <c r="K558" s="1"/>
    </row>
    <row r="559" spans="2:11" x14ac:dyDescent="0.25">
      <c r="B559" s="1"/>
      <c r="I559" s="1"/>
      <c r="J559" s="1"/>
      <c r="K559" s="1"/>
    </row>
    <row r="560" spans="2:11" x14ac:dyDescent="0.25">
      <c r="B560" s="1"/>
      <c r="I560" s="1"/>
      <c r="J560" s="1"/>
      <c r="K560" s="1"/>
    </row>
    <row r="561" spans="2:11" x14ac:dyDescent="0.25">
      <c r="B561" s="1"/>
      <c r="I561" s="1"/>
      <c r="J561" s="1"/>
      <c r="K561" s="1"/>
    </row>
    <row r="562" spans="2:11" x14ac:dyDescent="0.25">
      <c r="B562" s="1"/>
      <c r="I562" s="1"/>
      <c r="J562" s="1"/>
      <c r="K562" s="1"/>
    </row>
    <row r="563" spans="2:11" x14ac:dyDescent="0.25">
      <c r="B563" s="1"/>
      <c r="I563" s="1"/>
      <c r="J563" s="1"/>
      <c r="K563" s="1"/>
    </row>
    <row r="564" spans="2:11" x14ac:dyDescent="0.25">
      <c r="B564" s="1"/>
      <c r="I564" s="1"/>
      <c r="J564" s="1"/>
      <c r="K564" s="1"/>
    </row>
    <row r="565" spans="2:11" x14ac:dyDescent="0.25">
      <c r="B565" s="1"/>
      <c r="I565" s="1"/>
      <c r="J565" s="1"/>
      <c r="K565" s="1"/>
    </row>
    <row r="566" spans="2:11" x14ac:dyDescent="0.25">
      <c r="B566" s="1"/>
      <c r="I566" s="1"/>
      <c r="J566" s="1"/>
      <c r="K566" s="1"/>
    </row>
    <row r="567" spans="2:11" x14ac:dyDescent="0.25">
      <c r="B567" s="1"/>
      <c r="I567" s="1"/>
      <c r="J567" s="1"/>
      <c r="K567" s="1"/>
    </row>
    <row r="568" spans="2:11" x14ac:dyDescent="0.25">
      <c r="B568" s="1"/>
      <c r="I568" s="1"/>
      <c r="J568" s="1"/>
      <c r="K568" s="1"/>
    </row>
    <row r="569" spans="2:11" x14ac:dyDescent="0.25">
      <c r="B569" s="1"/>
      <c r="I569" s="1"/>
      <c r="J569" s="1"/>
      <c r="K569" s="1"/>
    </row>
    <row r="570" spans="2:11" x14ac:dyDescent="0.25">
      <c r="B570" s="1"/>
      <c r="I570" s="1"/>
      <c r="J570" s="1"/>
      <c r="K570" s="1"/>
    </row>
    <row r="571" spans="2:11" x14ac:dyDescent="0.25">
      <c r="B571" s="1"/>
      <c r="I571" s="1"/>
      <c r="J571" s="1"/>
      <c r="K571" s="1"/>
    </row>
    <row r="572" spans="2:11" x14ac:dyDescent="0.25">
      <c r="B572" s="1"/>
      <c r="I572" s="1"/>
      <c r="J572" s="1"/>
      <c r="K572" s="1"/>
    </row>
    <row r="573" spans="2:11" x14ac:dyDescent="0.25">
      <c r="B573" s="1"/>
      <c r="I573" s="1"/>
      <c r="J573" s="1"/>
      <c r="K573" s="1"/>
    </row>
    <row r="574" spans="2:11" x14ac:dyDescent="0.25">
      <c r="B574" s="1"/>
      <c r="I574" s="1"/>
      <c r="J574" s="1"/>
      <c r="K574" s="1"/>
    </row>
    <row r="575" spans="2:11" x14ac:dyDescent="0.25">
      <c r="B575" s="1"/>
      <c r="I575" s="1"/>
      <c r="J575" s="1"/>
      <c r="K575" s="1"/>
    </row>
    <row r="576" spans="2:11" x14ac:dyDescent="0.25">
      <c r="B576" s="1"/>
      <c r="I576" s="1"/>
      <c r="J576" s="1"/>
      <c r="K576" s="1"/>
    </row>
    <row r="577" spans="2:11" x14ac:dyDescent="0.25">
      <c r="B577" s="1"/>
      <c r="I577" s="1"/>
      <c r="J577" s="1"/>
      <c r="K577" s="1"/>
    </row>
    <row r="578" spans="2:11" x14ac:dyDescent="0.25">
      <c r="B578" s="1"/>
      <c r="I578" s="1"/>
      <c r="J578" s="1"/>
      <c r="K578" s="1"/>
    </row>
    <row r="579" spans="2:11" x14ac:dyDescent="0.25">
      <c r="B579" s="1"/>
      <c r="I579" s="1"/>
      <c r="J579" s="1"/>
      <c r="K579" s="1"/>
    </row>
    <row r="580" spans="2:11" x14ac:dyDescent="0.25">
      <c r="B580" s="1"/>
      <c r="I580" s="1"/>
      <c r="J580" s="1"/>
      <c r="K580" s="1"/>
    </row>
    <row r="581" spans="2:11" x14ac:dyDescent="0.25">
      <c r="B581" s="1"/>
      <c r="I581" s="1"/>
      <c r="J581" s="1"/>
      <c r="K581" s="1"/>
    </row>
    <row r="582" spans="2:11" x14ac:dyDescent="0.25">
      <c r="B582" s="1"/>
      <c r="I582" s="1"/>
      <c r="J582" s="1"/>
      <c r="K582" s="1"/>
    </row>
    <row r="583" spans="2:11" x14ac:dyDescent="0.25">
      <c r="B583" s="1"/>
      <c r="I583" s="1"/>
      <c r="J583" s="1"/>
      <c r="K583" s="1"/>
    </row>
    <row r="584" spans="2:11" x14ac:dyDescent="0.25">
      <c r="B584" s="1"/>
      <c r="I584" s="1"/>
      <c r="J584" s="1"/>
      <c r="K584" s="1"/>
    </row>
    <row r="585" spans="2:11" x14ac:dyDescent="0.25">
      <c r="B585" s="1"/>
      <c r="I585" s="1"/>
      <c r="J585" s="1"/>
      <c r="K585" s="1"/>
    </row>
    <row r="586" spans="2:11" x14ac:dyDescent="0.25">
      <c r="B586" s="1"/>
      <c r="I586" s="1"/>
      <c r="J586" s="1"/>
      <c r="K586" s="1"/>
    </row>
    <row r="587" spans="2:11" x14ac:dyDescent="0.25">
      <c r="B587" s="1"/>
      <c r="I587" s="1"/>
      <c r="J587" s="1"/>
      <c r="K587" s="1"/>
    </row>
    <row r="588" spans="2:11" x14ac:dyDescent="0.25">
      <c r="B588" s="1"/>
      <c r="I588" s="1"/>
      <c r="J588" s="1"/>
      <c r="K588" s="1"/>
    </row>
    <row r="589" spans="2:11" x14ac:dyDescent="0.25">
      <c r="B589" s="1"/>
      <c r="I589" s="1"/>
      <c r="J589" s="1"/>
      <c r="K589" s="1"/>
    </row>
    <row r="590" spans="2:11" x14ac:dyDescent="0.25">
      <c r="B590" s="1"/>
      <c r="I590" s="1"/>
      <c r="J590" s="1"/>
      <c r="K590" s="1"/>
    </row>
    <row r="591" spans="2:11" x14ac:dyDescent="0.25">
      <c r="B591" s="1"/>
      <c r="I591" s="1"/>
      <c r="J591" s="1"/>
      <c r="K591" s="1"/>
    </row>
    <row r="592" spans="2:11" x14ac:dyDescent="0.25">
      <c r="B592" s="1"/>
      <c r="I592" s="1"/>
      <c r="J592" s="1"/>
      <c r="K592" s="1"/>
    </row>
    <row r="593" spans="2:11" x14ac:dyDescent="0.25">
      <c r="B593" s="1"/>
      <c r="I593" s="1"/>
      <c r="J593" s="1"/>
      <c r="K593" s="1"/>
    </row>
    <row r="594" spans="2:11" x14ac:dyDescent="0.25">
      <c r="B594" s="1"/>
      <c r="I594" s="1"/>
      <c r="J594" s="1"/>
      <c r="K594" s="1"/>
    </row>
    <row r="595" spans="2:11" x14ac:dyDescent="0.25">
      <c r="B595" s="1"/>
      <c r="I595" s="1"/>
      <c r="J595" s="1"/>
      <c r="K595" s="1"/>
    </row>
    <row r="596" spans="2:11" x14ac:dyDescent="0.25">
      <c r="B596" s="1"/>
      <c r="I596" s="1"/>
      <c r="J596" s="1"/>
      <c r="K596" s="1"/>
    </row>
    <row r="597" spans="2:11" x14ac:dyDescent="0.25">
      <c r="B597" s="1"/>
      <c r="I597" s="1"/>
      <c r="J597" s="1"/>
      <c r="K597" s="1"/>
    </row>
    <row r="598" spans="2:11" x14ac:dyDescent="0.25">
      <c r="B598" s="1"/>
      <c r="I598" s="1"/>
      <c r="J598" s="1"/>
      <c r="K598" s="1"/>
    </row>
    <row r="599" spans="2:11" x14ac:dyDescent="0.25">
      <c r="B599" s="1"/>
      <c r="I599" s="1"/>
      <c r="J599" s="1"/>
      <c r="K599" s="1"/>
    </row>
    <row r="600" spans="2:11" x14ac:dyDescent="0.25">
      <c r="B600" s="1"/>
      <c r="I600" s="1"/>
      <c r="J600" s="1"/>
      <c r="K600" s="1"/>
    </row>
    <row r="601" spans="2:11" x14ac:dyDescent="0.25">
      <c r="B601" s="1"/>
      <c r="I601" s="1"/>
      <c r="J601" s="1"/>
      <c r="K601" s="1"/>
    </row>
    <row r="602" spans="2:11" x14ac:dyDescent="0.25">
      <c r="B602" s="1"/>
      <c r="I602" s="1"/>
      <c r="J602" s="1"/>
      <c r="K602" s="1"/>
    </row>
    <row r="603" spans="2:11" x14ac:dyDescent="0.25">
      <c r="B603" s="1"/>
      <c r="I603" s="1"/>
      <c r="J603" s="1"/>
      <c r="K603" s="1"/>
    </row>
    <row r="604" spans="2:11" x14ac:dyDescent="0.25">
      <c r="B604" s="1"/>
      <c r="I604" s="1"/>
      <c r="J604" s="1"/>
      <c r="K604" s="1"/>
    </row>
    <row r="605" spans="2:11" x14ac:dyDescent="0.25">
      <c r="B605" s="1"/>
      <c r="I605" s="1"/>
      <c r="J605" s="1"/>
      <c r="K605" s="1"/>
    </row>
    <row r="606" spans="2:11" x14ac:dyDescent="0.25">
      <c r="B606" s="1"/>
      <c r="I606" s="1"/>
      <c r="J606" s="1"/>
      <c r="K606" s="1"/>
    </row>
    <row r="607" spans="2:11" x14ac:dyDescent="0.25">
      <c r="B607" s="1"/>
      <c r="I607" s="1"/>
      <c r="J607" s="1"/>
      <c r="K607" s="1"/>
    </row>
    <row r="608" spans="2:11" x14ac:dyDescent="0.25">
      <c r="B608" s="1"/>
      <c r="I608" s="1"/>
      <c r="J608" s="1"/>
      <c r="K608" s="1"/>
    </row>
    <row r="609" spans="2:11" x14ac:dyDescent="0.25">
      <c r="B609" s="1"/>
      <c r="I609" s="1"/>
      <c r="J609" s="1"/>
      <c r="K609" s="1"/>
    </row>
    <row r="610" spans="2:11" x14ac:dyDescent="0.25">
      <c r="B610" s="1"/>
      <c r="I610" s="1"/>
      <c r="J610" s="1"/>
      <c r="K610" s="1"/>
    </row>
    <row r="611" spans="2:11" x14ac:dyDescent="0.25">
      <c r="B611" s="1"/>
      <c r="I611" s="1"/>
      <c r="J611" s="1"/>
      <c r="K611" s="1"/>
    </row>
    <row r="612" spans="2:11" x14ac:dyDescent="0.25">
      <c r="B612" s="1"/>
      <c r="I612" s="1"/>
      <c r="J612" s="1"/>
      <c r="K612" s="1"/>
    </row>
    <row r="613" spans="2:11" x14ac:dyDescent="0.25">
      <c r="B613" s="1"/>
      <c r="I613" s="1"/>
      <c r="J613" s="1"/>
      <c r="K613" s="1"/>
    </row>
    <row r="614" spans="2:11" x14ac:dyDescent="0.25">
      <c r="B614" s="1"/>
      <c r="I614" s="1"/>
      <c r="J614" s="1"/>
      <c r="K614" s="1"/>
    </row>
    <row r="615" spans="2:11" x14ac:dyDescent="0.25">
      <c r="B615" s="1"/>
      <c r="I615" s="1"/>
      <c r="J615" s="1"/>
      <c r="K615" s="1"/>
    </row>
    <row r="616" spans="2:11" x14ac:dyDescent="0.25">
      <c r="B616" s="1"/>
      <c r="I616" s="1"/>
      <c r="J616" s="1"/>
      <c r="K616" s="1"/>
    </row>
    <row r="617" spans="2:11" x14ac:dyDescent="0.25">
      <c r="B617" s="1"/>
      <c r="I617" s="1"/>
      <c r="J617" s="1"/>
      <c r="K617" s="1"/>
    </row>
    <row r="618" spans="2:11" x14ac:dyDescent="0.25">
      <c r="B618" s="1"/>
      <c r="I618" s="1"/>
      <c r="J618" s="1"/>
      <c r="K618" s="1"/>
    </row>
    <row r="619" spans="2:11" x14ac:dyDescent="0.25">
      <c r="B619" s="1"/>
      <c r="I619" s="1"/>
      <c r="J619" s="1"/>
      <c r="K619" s="1"/>
    </row>
    <row r="620" spans="2:11" x14ac:dyDescent="0.25">
      <c r="B620" s="1"/>
      <c r="I620" s="1"/>
      <c r="J620" s="1"/>
      <c r="K620" s="1"/>
    </row>
    <row r="621" spans="2:11" x14ac:dyDescent="0.25">
      <c r="B621" s="1"/>
      <c r="I621" s="1"/>
      <c r="J621" s="1"/>
      <c r="K621" s="1"/>
    </row>
    <row r="622" spans="2:11" x14ac:dyDescent="0.25">
      <c r="B622" s="1"/>
      <c r="I622" s="1"/>
      <c r="J622" s="1"/>
      <c r="K622" s="1"/>
    </row>
    <row r="623" spans="2:11" x14ac:dyDescent="0.25">
      <c r="B623" s="1"/>
      <c r="I623" s="1"/>
      <c r="J623" s="1"/>
      <c r="K623" s="1"/>
    </row>
    <row r="624" spans="2:11" x14ac:dyDescent="0.25">
      <c r="B624" s="1"/>
      <c r="I624" s="1"/>
      <c r="J624" s="1"/>
      <c r="K624" s="1"/>
    </row>
    <row r="625" spans="2:11" x14ac:dyDescent="0.25">
      <c r="B625" s="1"/>
      <c r="I625" s="1"/>
      <c r="J625" s="1"/>
      <c r="K625" s="1"/>
    </row>
    <row r="626" spans="2:11" x14ac:dyDescent="0.25">
      <c r="B626" s="1"/>
      <c r="I626" s="1"/>
      <c r="J626" s="1"/>
      <c r="K626" s="1"/>
    </row>
    <row r="627" spans="2:11" x14ac:dyDescent="0.25">
      <c r="B627" s="1"/>
      <c r="I627" s="1"/>
      <c r="J627" s="1"/>
      <c r="K627" s="1"/>
    </row>
    <row r="628" spans="2:11" x14ac:dyDescent="0.25">
      <c r="B628" s="1"/>
      <c r="I628" s="1"/>
      <c r="J628" s="1"/>
      <c r="K628" s="1"/>
    </row>
    <row r="629" spans="2:11" x14ac:dyDescent="0.25">
      <c r="B629" s="1"/>
      <c r="I629" s="1"/>
      <c r="J629" s="1"/>
      <c r="K629" s="1"/>
    </row>
    <row r="630" spans="2:11" x14ac:dyDescent="0.25">
      <c r="B630" s="1"/>
      <c r="I630" s="1"/>
      <c r="J630" s="1"/>
      <c r="K630" s="1"/>
    </row>
    <row r="631" spans="2:11" x14ac:dyDescent="0.25">
      <c r="B631" s="1"/>
      <c r="I631" s="1"/>
      <c r="J631" s="1"/>
      <c r="K631" s="1"/>
    </row>
    <row r="632" spans="2:11" x14ac:dyDescent="0.25">
      <c r="B632" s="1"/>
      <c r="I632" s="1"/>
      <c r="J632" s="1"/>
      <c r="K632" s="1"/>
    </row>
    <row r="633" spans="2:11" x14ac:dyDescent="0.25">
      <c r="B633" s="1"/>
      <c r="I633" s="1"/>
      <c r="J633" s="1"/>
      <c r="K633" s="1"/>
    </row>
    <row r="634" spans="2:11" x14ac:dyDescent="0.25">
      <c r="B634" s="1"/>
      <c r="I634" s="1"/>
      <c r="J634" s="1"/>
      <c r="K634" s="1"/>
    </row>
    <row r="635" spans="2:11" x14ac:dyDescent="0.25">
      <c r="B635" s="1"/>
      <c r="I635" s="1"/>
      <c r="J635" s="1"/>
      <c r="K635" s="1"/>
    </row>
    <row r="636" spans="2:11" x14ac:dyDescent="0.25">
      <c r="B636" s="1"/>
      <c r="I636" s="1"/>
      <c r="J636" s="1"/>
      <c r="K636" s="1"/>
    </row>
    <row r="637" spans="2:11" x14ac:dyDescent="0.25">
      <c r="B637" s="1"/>
      <c r="I637" s="1"/>
      <c r="J637" s="1"/>
      <c r="K637" s="1"/>
    </row>
    <row r="638" spans="2:11" x14ac:dyDescent="0.25">
      <c r="B638" s="1"/>
      <c r="I638" s="1"/>
      <c r="J638" s="1"/>
      <c r="K638" s="1"/>
    </row>
    <row r="639" spans="2:11" x14ac:dyDescent="0.25">
      <c r="B639" s="1"/>
      <c r="I639" s="1"/>
      <c r="J639" s="1"/>
      <c r="K639" s="1"/>
    </row>
    <row r="640" spans="2:11" x14ac:dyDescent="0.25">
      <c r="B640" s="1"/>
      <c r="I640" s="1"/>
      <c r="J640" s="1"/>
      <c r="K640" s="1"/>
    </row>
    <row r="641" spans="2:11" x14ac:dyDescent="0.25">
      <c r="B641" s="1"/>
      <c r="I641" s="1"/>
      <c r="J641" s="1"/>
      <c r="K641" s="1"/>
    </row>
    <row r="642" spans="2:11" x14ac:dyDescent="0.25">
      <c r="B642" s="1"/>
      <c r="I642" s="1"/>
      <c r="J642" s="1"/>
      <c r="K642" s="1"/>
    </row>
    <row r="643" spans="2:11" x14ac:dyDescent="0.25">
      <c r="B643" s="1"/>
      <c r="I643" s="1"/>
      <c r="J643" s="1"/>
      <c r="K643" s="1"/>
    </row>
    <row r="644" spans="2:11" x14ac:dyDescent="0.25">
      <c r="B644" s="1"/>
      <c r="I644" s="1"/>
      <c r="J644" s="1"/>
      <c r="K644" s="1"/>
    </row>
    <row r="645" spans="2:11" x14ac:dyDescent="0.25">
      <c r="B645" s="1"/>
      <c r="I645" s="1"/>
      <c r="J645" s="1"/>
      <c r="K645" s="1"/>
    </row>
    <row r="646" spans="2:11" x14ac:dyDescent="0.25">
      <c r="B646" s="1"/>
      <c r="I646" s="1"/>
      <c r="J646" s="1"/>
      <c r="K646" s="1"/>
    </row>
    <row r="647" spans="2:11" x14ac:dyDescent="0.25">
      <c r="B647" s="1"/>
      <c r="I647" s="1"/>
      <c r="J647" s="1"/>
      <c r="K647" s="1"/>
    </row>
    <row r="648" spans="2:11" x14ac:dyDescent="0.25">
      <c r="B648" s="1"/>
      <c r="I648" s="1"/>
      <c r="J648" s="1"/>
      <c r="K648" s="1"/>
    </row>
    <row r="649" spans="2:11" x14ac:dyDescent="0.25">
      <c r="B649" s="1"/>
      <c r="I649" s="1"/>
      <c r="J649" s="1"/>
      <c r="K649" s="1"/>
    </row>
    <row r="650" spans="2:11" x14ac:dyDescent="0.25">
      <c r="B650" s="1"/>
      <c r="I650" s="1"/>
      <c r="J650" s="1"/>
      <c r="K650" s="1"/>
    </row>
    <row r="651" spans="2:11" x14ac:dyDescent="0.25">
      <c r="B651" s="1"/>
      <c r="I651" s="1"/>
      <c r="J651" s="1"/>
      <c r="K651" s="1"/>
    </row>
    <row r="652" spans="2:11" x14ac:dyDescent="0.25">
      <c r="B652" s="1"/>
      <c r="I652" s="1"/>
      <c r="J652" s="1"/>
      <c r="K652" s="1"/>
    </row>
    <row r="653" spans="2:11" x14ac:dyDescent="0.25">
      <c r="B653" s="1"/>
      <c r="I653" s="1"/>
      <c r="J653" s="1"/>
      <c r="K653" s="1"/>
    </row>
    <row r="654" spans="2:11" x14ac:dyDescent="0.25">
      <c r="B654" s="1"/>
      <c r="I654" s="1"/>
      <c r="J654" s="1"/>
      <c r="K654" s="1"/>
    </row>
    <row r="655" spans="2:11" x14ac:dyDescent="0.25">
      <c r="B655" s="1"/>
      <c r="I655" s="1"/>
      <c r="J655" s="1"/>
      <c r="K655" s="1"/>
    </row>
    <row r="656" spans="2:11" x14ac:dyDescent="0.25">
      <c r="B656" s="1"/>
      <c r="I656" s="1"/>
      <c r="J656" s="1"/>
      <c r="K656" s="1"/>
    </row>
    <row r="657" spans="2:11" x14ac:dyDescent="0.25">
      <c r="B657" s="1"/>
      <c r="I657" s="1"/>
      <c r="J657" s="1"/>
      <c r="K657" s="1"/>
    </row>
    <row r="658" spans="2:11" x14ac:dyDescent="0.25">
      <c r="B658" s="1"/>
      <c r="I658" s="1"/>
      <c r="J658" s="1"/>
      <c r="K658" s="1"/>
    </row>
    <row r="659" spans="2:11" x14ac:dyDescent="0.25">
      <c r="B659" s="1"/>
      <c r="I659" s="1"/>
      <c r="J659" s="1"/>
      <c r="K659" s="1"/>
    </row>
    <row r="660" spans="2:11" x14ac:dyDescent="0.25">
      <c r="B660" s="1"/>
      <c r="I660" s="1"/>
      <c r="J660" s="1"/>
      <c r="K660" s="1"/>
    </row>
    <row r="661" spans="2:11" x14ac:dyDescent="0.25">
      <c r="B661" s="1"/>
      <c r="I661" s="1"/>
      <c r="J661" s="1"/>
      <c r="K661" s="1"/>
    </row>
    <row r="662" spans="2:11" x14ac:dyDescent="0.25">
      <c r="B662" s="1"/>
      <c r="I662" s="1"/>
      <c r="J662" s="1"/>
      <c r="K662" s="1"/>
    </row>
    <row r="663" spans="2:11" x14ac:dyDescent="0.25">
      <c r="B663" s="1"/>
      <c r="I663" s="1"/>
      <c r="J663" s="1"/>
      <c r="K663" s="1"/>
    </row>
    <row r="664" spans="2:11" x14ac:dyDescent="0.25">
      <c r="B664" s="1"/>
      <c r="I664" s="1"/>
      <c r="J664" s="1"/>
      <c r="K664" s="1"/>
    </row>
    <row r="665" spans="2:11" x14ac:dyDescent="0.25">
      <c r="B665" s="1"/>
      <c r="I665" s="1"/>
      <c r="J665" s="1"/>
      <c r="K665" s="1"/>
    </row>
    <row r="666" spans="2:11" x14ac:dyDescent="0.25">
      <c r="B666" s="1"/>
      <c r="I666" s="1"/>
      <c r="J666" s="1"/>
      <c r="K666" s="1"/>
    </row>
    <row r="667" spans="2:11" x14ac:dyDescent="0.25">
      <c r="B667" s="1"/>
      <c r="I667" s="1"/>
      <c r="J667" s="1"/>
      <c r="K667" s="1"/>
    </row>
    <row r="668" spans="2:11" x14ac:dyDescent="0.25">
      <c r="B668" s="1"/>
      <c r="I668" s="1"/>
      <c r="J668" s="1"/>
      <c r="K668" s="1"/>
    </row>
    <row r="669" spans="2:11" x14ac:dyDescent="0.25">
      <c r="B669" s="1"/>
      <c r="I669" s="1"/>
      <c r="J669" s="1"/>
      <c r="K669" s="1"/>
    </row>
    <row r="670" spans="2:11" x14ac:dyDescent="0.25">
      <c r="B670" s="1"/>
      <c r="I670" s="1"/>
      <c r="J670" s="1"/>
      <c r="K670" s="1"/>
    </row>
    <row r="671" spans="2:11" x14ac:dyDescent="0.25">
      <c r="B671" s="1"/>
      <c r="I671" s="1"/>
      <c r="J671" s="1"/>
      <c r="K671" s="1"/>
    </row>
    <row r="672" spans="2:11" x14ac:dyDescent="0.25">
      <c r="B672" s="1"/>
      <c r="I672" s="1"/>
      <c r="J672" s="1"/>
      <c r="K672" s="1"/>
    </row>
    <row r="673" spans="2:11" x14ac:dyDescent="0.25">
      <c r="B673" s="1"/>
      <c r="I673" s="1"/>
      <c r="J673" s="1"/>
      <c r="K673" s="1"/>
    </row>
    <row r="674" spans="2:11" x14ac:dyDescent="0.25">
      <c r="B674" s="1"/>
      <c r="I674" s="1"/>
      <c r="J674" s="1"/>
      <c r="K674" s="1"/>
    </row>
    <row r="675" spans="2:11" x14ac:dyDescent="0.25">
      <c r="I675" s="1"/>
      <c r="J675" s="1"/>
      <c r="K675" s="1"/>
    </row>
    <row r="676" spans="2:11" x14ac:dyDescent="0.25">
      <c r="I676" s="1"/>
      <c r="J676" s="1"/>
      <c r="K676" s="1"/>
    </row>
    <row r="677" spans="2:11" x14ac:dyDescent="0.25">
      <c r="I677" s="1"/>
      <c r="J677" s="1"/>
      <c r="K677" s="1"/>
    </row>
    <row r="678" spans="2:11" x14ac:dyDescent="0.25">
      <c r="I678" s="1"/>
      <c r="J678" s="1"/>
      <c r="K678" s="1"/>
    </row>
    <row r="679" spans="2:11" x14ac:dyDescent="0.25">
      <c r="I679" s="1"/>
      <c r="J679" s="1"/>
      <c r="K679" s="1"/>
    </row>
    <row r="680" spans="2:11" x14ac:dyDescent="0.25">
      <c r="I680" s="1"/>
      <c r="J680" s="1"/>
      <c r="K680" s="1"/>
    </row>
    <row r="681" spans="2:11" x14ac:dyDescent="0.25">
      <c r="I681" s="1"/>
      <c r="J681" s="1"/>
      <c r="K681" s="1"/>
    </row>
    <row r="682" spans="2:11" x14ac:dyDescent="0.25">
      <c r="I682" s="1"/>
      <c r="J682" s="1"/>
      <c r="K682" s="1"/>
    </row>
    <row r="683" spans="2:11" x14ac:dyDescent="0.25">
      <c r="I683" s="1"/>
      <c r="J683" s="1"/>
      <c r="K683" s="1"/>
    </row>
    <row r="684" spans="2:11" x14ac:dyDescent="0.25">
      <c r="I684" s="1"/>
      <c r="J684" s="1"/>
      <c r="K684" s="1"/>
    </row>
    <row r="685" spans="2:11" x14ac:dyDescent="0.25">
      <c r="I685" s="1"/>
      <c r="J685" s="1"/>
      <c r="K685" s="1"/>
    </row>
    <row r="686" spans="2:11" x14ac:dyDescent="0.25">
      <c r="I686" s="1"/>
      <c r="J686" s="1"/>
      <c r="K686" s="1"/>
    </row>
    <row r="687" spans="2:11" x14ac:dyDescent="0.25">
      <c r="I687" s="1"/>
      <c r="J687" s="1"/>
      <c r="K687" s="1"/>
    </row>
    <row r="688" spans="2:11" x14ac:dyDescent="0.25">
      <c r="I688" s="1"/>
      <c r="J688" s="1"/>
      <c r="K688" s="1"/>
    </row>
    <row r="689" spans="9:11" x14ac:dyDescent="0.25">
      <c r="I689" s="1"/>
      <c r="J689" s="1"/>
      <c r="K689" s="1"/>
    </row>
    <row r="690" spans="9:11" x14ac:dyDescent="0.25">
      <c r="I690" s="1"/>
      <c r="J690" s="1"/>
      <c r="K690" s="1"/>
    </row>
    <row r="691" spans="9:11" x14ac:dyDescent="0.25">
      <c r="I691" s="1"/>
      <c r="J691" s="1"/>
      <c r="K691" s="1"/>
    </row>
    <row r="692" spans="9:11" x14ac:dyDescent="0.25">
      <c r="I692" s="1"/>
      <c r="J692" s="1"/>
      <c r="K692" s="1"/>
    </row>
    <row r="693" spans="9:11" x14ac:dyDescent="0.25">
      <c r="I693" s="1"/>
      <c r="J693" s="1"/>
      <c r="K693" s="1"/>
    </row>
    <row r="694" spans="9:11" x14ac:dyDescent="0.25">
      <c r="I694" s="1"/>
      <c r="J694" s="1"/>
      <c r="K694" s="1"/>
    </row>
    <row r="695" spans="9:11" x14ac:dyDescent="0.25">
      <c r="I695" s="1"/>
      <c r="J695" s="1"/>
      <c r="K695" s="1"/>
    </row>
    <row r="696" spans="9:11" x14ac:dyDescent="0.25">
      <c r="I696" s="1"/>
      <c r="J696" s="1"/>
      <c r="K696" s="1"/>
    </row>
    <row r="697" spans="9:11" x14ac:dyDescent="0.25">
      <c r="I697" s="1"/>
      <c r="J697" s="1"/>
      <c r="K697" s="1"/>
    </row>
    <row r="698" spans="9:11" x14ac:dyDescent="0.25">
      <c r="I698" s="1"/>
      <c r="J698" s="1"/>
      <c r="K698" s="1"/>
    </row>
    <row r="699" spans="9:11" x14ac:dyDescent="0.25">
      <c r="I699" s="1"/>
      <c r="J699" s="1"/>
      <c r="K699" s="1"/>
    </row>
    <row r="700" spans="9:11" x14ac:dyDescent="0.25">
      <c r="I700" s="1"/>
      <c r="J700" s="1"/>
      <c r="K700" s="1"/>
    </row>
    <row r="701" spans="9:11" x14ac:dyDescent="0.25">
      <c r="I701" s="1"/>
      <c r="J701" s="1"/>
      <c r="K701" s="1"/>
    </row>
    <row r="702" spans="9:11" x14ac:dyDescent="0.25">
      <c r="I702" s="1"/>
      <c r="J702" s="1"/>
      <c r="K702" s="1"/>
    </row>
    <row r="703" spans="9:11" x14ac:dyDescent="0.25">
      <c r="I703" s="1"/>
      <c r="J703" s="1"/>
      <c r="K703" s="1"/>
    </row>
    <row r="704" spans="9:11" x14ac:dyDescent="0.25">
      <c r="I704" s="1"/>
      <c r="J704" s="1"/>
      <c r="K704" s="1"/>
    </row>
    <row r="705" spans="9:11" x14ac:dyDescent="0.25">
      <c r="I705" s="1"/>
      <c r="J705" s="1"/>
      <c r="K705" s="1"/>
    </row>
    <row r="706" spans="9:11" x14ac:dyDescent="0.25">
      <c r="I706" s="1"/>
      <c r="J706" s="1"/>
      <c r="K706" s="1"/>
    </row>
    <row r="707" spans="9:11" x14ac:dyDescent="0.25">
      <c r="I707" s="1"/>
      <c r="J707" s="1"/>
      <c r="K707" s="1"/>
    </row>
    <row r="708" spans="9:11" x14ac:dyDescent="0.25">
      <c r="I708" s="1"/>
      <c r="J708" s="1"/>
      <c r="K708" s="1"/>
    </row>
    <row r="709" spans="9:11" x14ac:dyDescent="0.25">
      <c r="I709" s="1"/>
      <c r="J709" s="1"/>
      <c r="K709" s="1"/>
    </row>
    <row r="710" spans="9:11" x14ac:dyDescent="0.25">
      <c r="I710" s="1"/>
      <c r="J710" s="1"/>
      <c r="K710" s="1"/>
    </row>
    <row r="711" spans="9:11" x14ac:dyDescent="0.25">
      <c r="I711" s="1"/>
      <c r="J711" s="1"/>
      <c r="K711" s="1"/>
    </row>
    <row r="712" spans="9:11" x14ac:dyDescent="0.25">
      <c r="I712" s="1"/>
      <c r="J712" s="1"/>
      <c r="K712" s="1"/>
    </row>
    <row r="713" spans="9:11" x14ac:dyDescent="0.25">
      <c r="I713" s="1"/>
      <c r="J713" s="1"/>
      <c r="K713" s="1"/>
    </row>
    <row r="714" spans="9:11" x14ac:dyDescent="0.25">
      <c r="I714" s="1"/>
      <c r="J714" s="1"/>
      <c r="K714" s="1"/>
    </row>
    <row r="715" spans="9:11" x14ac:dyDescent="0.25">
      <c r="I715" s="1"/>
      <c r="J715" s="1"/>
      <c r="K715" s="1"/>
    </row>
    <row r="716" spans="9:11" x14ac:dyDescent="0.25">
      <c r="I716" s="1"/>
      <c r="J716" s="1"/>
      <c r="K716" s="1"/>
    </row>
    <row r="717" spans="9:11" x14ac:dyDescent="0.25">
      <c r="I717" s="1"/>
      <c r="J717" s="1"/>
      <c r="K717" s="1"/>
    </row>
    <row r="718" spans="9:11" x14ac:dyDescent="0.25">
      <c r="I718" s="1"/>
      <c r="J718" s="1"/>
      <c r="K718" s="1"/>
    </row>
    <row r="719" spans="9:11" x14ac:dyDescent="0.25">
      <c r="I719" s="1"/>
      <c r="J719" s="1"/>
      <c r="K719" s="1"/>
    </row>
    <row r="720" spans="9:11" x14ac:dyDescent="0.25">
      <c r="I720" s="1"/>
      <c r="J720" s="1"/>
      <c r="K720" s="1"/>
    </row>
    <row r="721" spans="9:11" x14ac:dyDescent="0.25">
      <c r="I721" s="1"/>
      <c r="J721" s="1"/>
      <c r="K721" s="1"/>
    </row>
    <row r="722" spans="9:11" x14ac:dyDescent="0.25">
      <c r="I722" s="1"/>
      <c r="J722" s="1"/>
      <c r="K722" s="1"/>
    </row>
    <row r="723" spans="9:11" x14ac:dyDescent="0.25">
      <c r="I723" s="1"/>
      <c r="J723" s="1"/>
      <c r="K723" s="1"/>
    </row>
    <row r="724" spans="9:11" x14ac:dyDescent="0.25">
      <c r="I724" s="1"/>
      <c r="J724" s="1"/>
      <c r="K724" s="1"/>
    </row>
    <row r="725" spans="9:11" x14ac:dyDescent="0.25">
      <c r="I725" s="1"/>
      <c r="J725" s="1"/>
      <c r="K725" s="1"/>
    </row>
    <row r="726" spans="9:11" x14ac:dyDescent="0.25">
      <c r="I726" s="1"/>
      <c r="J726" s="1"/>
      <c r="K726" s="1"/>
    </row>
    <row r="727" spans="9:11" x14ac:dyDescent="0.25">
      <c r="I727" s="1"/>
      <c r="J727" s="1"/>
      <c r="K727" s="1"/>
    </row>
    <row r="728" spans="9:11" x14ac:dyDescent="0.25">
      <c r="I728" s="1"/>
      <c r="J728" s="1"/>
      <c r="K728" s="1"/>
    </row>
    <row r="729" spans="9:11" x14ac:dyDescent="0.25">
      <c r="I729" s="1"/>
      <c r="J729" s="1"/>
      <c r="K729" s="1"/>
    </row>
    <row r="730" spans="9:11" x14ac:dyDescent="0.25">
      <c r="I730" s="1"/>
      <c r="J730" s="1"/>
      <c r="K730" s="1"/>
    </row>
    <row r="731" spans="9:11" x14ac:dyDescent="0.25">
      <c r="I731" s="1"/>
      <c r="J731" s="1"/>
      <c r="K731" s="1"/>
    </row>
    <row r="732" spans="9:11" x14ac:dyDescent="0.25">
      <c r="I732" s="1"/>
      <c r="J732" s="1"/>
      <c r="K732" s="1"/>
    </row>
    <row r="733" spans="9:11" x14ac:dyDescent="0.25">
      <c r="I733" s="1"/>
      <c r="J733" s="1"/>
      <c r="K733" s="1"/>
    </row>
    <row r="734" spans="9:11" x14ac:dyDescent="0.25">
      <c r="I734" s="1"/>
      <c r="J734" s="1"/>
      <c r="K734" s="1"/>
    </row>
    <row r="735" spans="9:11" x14ac:dyDescent="0.25">
      <c r="I735" s="1"/>
      <c r="J735" s="1"/>
      <c r="K735" s="1"/>
    </row>
    <row r="736" spans="9:11" x14ac:dyDescent="0.25">
      <c r="I736" s="1"/>
      <c r="J736" s="1"/>
      <c r="K736" s="1"/>
    </row>
    <row r="737" spans="9:11" x14ac:dyDescent="0.25">
      <c r="I737" s="1"/>
      <c r="J737" s="1"/>
      <c r="K737" s="1"/>
    </row>
    <row r="738" spans="9:11" x14ac:dyDescent="0.25">
      <c r="I738" s="1"/>
      <c r="J738" s="1"/>
      <c r="K738" s="1"/>
    </row>
    <row r="739" spans="9:11" x14ac:dyDescent="0.25">
      <c r="I739" s="1"/>
      <c r="J739" s="1"/>
      <c r="K739" s="1"/>
    </row>
    <row r="740" spans="9:11" x14ac:dyDescent="0.25">
      <c r="I740" s="1"/>
      <c r="J740" s="1"/>
      <c r="K740" s="1"/>
    </row>
    <row r="741" spans="9:11" x14ac:dyDescent="0.25">
      <c r="I741" s="1"/>
      <c r="J741" s="1"/>
      <c r="K741" s="1"/>
    </row>
    <row r="742" spans="9:11" x14ac:dyDescent="0.25">
      <c r="I742" s="1"/>
      <c r="J742" s="1"/>
      <c r="K742" s="1"/>
    </row>
    <row r="743" spans="9:11" x14ac:dyDescent="0.25">
      <c r="I743" s="1"/>
      <c r="J743" s="1"/>
      <c r="K743" s="1"/>
    </row>
    <row r="744" spans="9:11" x14ac:dyDescent="0.25">
      <c r="I744" s="1"/>
      <c r="J744" s="1"/>
      <c r="K744" s="1"/>
    </row>
    <row r="745" spans="9:11" x14ac:dyDescent="0.25">
      <c r="I745" s="1"/>
      <c r="J745" s="1"/>
      <c r="K745" s="1"/>
    </row>
    <row r="746" spans="9:11" x14ac:dyDescent="0.25">
      <c r="I746" s="1"/>
      <c r="J746" s="1"/>
      <c r="K746" s="1"/>
    </row>
    <row r="747" spans="9:11" x14ac:dyDescent="0.25">
      <c r="I747" s="1"/>
      <c r="J747" s="1"/>
      <c r="K747" s="1"/>
    </row>
    <row r="748" spans="9:11" x14ac:dyDescent="0.25">
      <c r="I748" s="1"/>
      <c r="J748" s="1"/>
      <c r="K748" s="1"/>
    </row>
    <row r="749" spans="9:11" x14ac:dyDescent="0.25">
      <c r="I749" s="1"/>
      <c r="J749" s="1"/>
      <c r="K749" s="1"/>
    </row>
    <row r="750" spans="9:11" x14ac:dyDescent="0.25">
      <c r="I750" s="1"/>
      <c r="J750" s="1"/>
      <c r="K750" s="1"/>
    </row>
    <row r="751" spans="9:11" x14ac:dyDescent="0.25">
      <c r="I751" s="1"/>
      <c r="J751" s="1"/>
      <c r="K751" s="1"/>
    </row>
    <row r="752" spans="9:11" x14ac:dyDescent="0.25">
      <c r="I752" s="1"/>
      <c r="J752" s="1"/>
      <c r="K752" s="1"/>
    </row>
    <row r="753" spans="9:11" x14ac:dyDescent="0.25">
      <c r="I753" s="1"/>
      <c r="J753" s="1"/>
      <c r="K753" s="1"/>
    </row>
    <row r="754" spans="9:11" x14ac:dyDescent="0.25">
      <c r="I754" s="1"/>
      <c r="J754" s="1"/>
      <c r="K754" s="1"/>
    </row>
    <row r="755" spans="9:11" x14ac:dyDescent="0.25">
      <c r="I755" s="1"/>
      <c r="J755" s="1"/>
      <c r="K755" s="1"/>
    </row>
    <row r="756" spans="9:11" x14ac:dyDescent="0.25">
      <c r="I756" s="1"/>
      <c r="J756" s="1"/>
      <c r="K756" s="1"/>
    </row>
    <row r="757" spans="9:11" x14ac:dyDescent="0.25">
      <c r="I757" s="1"/>
      <c r="J757" s="1"/>
      <c r="K757" s="1"/>
    </row>
    <row r="758" spans="9:11" x14ac:dyDescent="0.25">
      <c r="I758" s="1"/>
      <c r="J758" s="1"/>
      <c r="K758" s="1"/>
    </row>
    <row r="759" spans="9:11" x14ac:dyDescent="0.25">
      <c r="I759" s="1"/>
      <c r="J759" s="1"/>
      <c r="K759" s="1"/>
    </row>
    <row r="760" spans="9:11" x14ac:dyDescent="0.25">
      <c r="I760" s="1"/>
      <c r="J760" s="1"/>
      <c r="K760" s="1"/>
    </row>
    <row r="761" spans="9:11" x14ac:dyDescent="0.25">
      <c r="I761" s="1"/>
      <c r="J761" s="1"/>
      <c r="K761" s="1"/>
    </row>
    <row r="762" spans="9:11" x14ac:dyDescent="0.25">
      <c r="I762" s="1"/>
      <c r="J762" s="1"/>
      <c r="K762" s="1"/>
    </row>
    <row r="763" spans="9:11" x14ac:dyDescent="0.25">
      <c r="I763" s="1"/>
      <c r="J763" s="1"/>
      <c r="K763" s="1"/>
    </row>
    <row r="764" spans="9:11" x14ac:dyDescent="0.25">
      <c r="I764" s="1"/>
      <c r="J764" s="1"/>
      <c r="K764" s="1"/>
    </row>
    <row r="765" spans="9:11" x14ac:dyDescent="0.25">
      <c r="I765" s="1"/>
      <c r="J765" s="1"/>
      <c r="K765" s="1"/>
    </row>
    <row r="766" spans="9:11" x14ac:dyDescent="0.25">
      <c r="I766" s="1"/>
      <c r="J766" s="1"/>
      <c r="K766" s="1"/>
    </row>
    <row r="767" spans="9:11" x14ac:dyDescent="0.25">
      <c r="I767" s="1"/>
      <c r="J767" s="1"/>
      <c r="K767" s="1"/>
    </row>
    <row r="768" spans="9:11" x14ac:dyDescent="0.25">
      <c r="I768" s="1"/>
      <c r="J768" s="1"/>
      <c r="K768" s="1"/>
    </row>
    <row r="769" spans="9:11" x14ac:dyDescent="0.25">
      <c r="I769" s="1"/>
      <c r="J769" s="1"/>
      <c r="K769" s="1"/>
    </row>
    <row r="770" spans="9:11" x14ac:dyDescent="0.25">
      <c r="I770" s="1"/>
      <c r="J770" s="1"/>
      <c r="K770" s="1"/>
    </row>
    <row r="771" spans="9:11" x14ac:dyDescent="0.25">
      <c r="I771" s="1"/>
      <c r="J771" s="1"/>
      <c r="K771" s="1"/>
    </row>
    <row r="772" spans="9:11" x14ac:dyDescent="0.25">
      <c r="I772" s="1"/>
      <c r="J772" s="1"/>
      <c r="K772" s="1"/>
    </row>
    <row r="773" spans="9:11" x14ac:dyDescent="0.25">
      <c r="I773" s="1"/>
      <c r="J773" s="1"/>
      <c r="K773" s="1"/>
    </row>
    <row r="774" spans="9:11" x14ac:dyDescent="0.25">
      <c r="I774" s="1"/>
      <c r="J774" s="1"/>
      <c r="K774" s="1"/>
    </row>
    <row r="775" spans="9:11" x14ac:dyDescent="0.25">
      <c r="I775" s="1"/>
      <c r="J775" s="1"/>
      <c r="K775" s="1"/>
    </row>
    <row r="776" spans="9:11" x14ac:dyDescent="0.25">
      <c r="I776" s="1"/>
      <c r="J776" s="1"/>
      <c r="K776" s="1"/>
    </row>
    <row r="777" spans="9:11" x14ac:dyDescent="0.25">
      <c r="I777" s="1"/>
      <c r="J777" s="1"/>
      <c r="K777" s="1"/>
    </row>
    <row r="778" spans="9:11" x14ac:dyDescent="0.25">
      <c r="I778" s="1"/>
      <c r="J778" s="1"/>
      <c r="K778" s="1"/>
    </row>
    <row r="779" spans="9:11" x14ac:dyDescent="0.25">
      <c r="I779" s="1"/>
      <c r="J779" s="1"/>
      <c r="K779" s="1"/>
    </row>
    <row r="780" spans="9:11" x14ac:dyDescent="0.25">
      <c r="I780" s="1"/>
      <c r="J780" s="1"/>
      <c r="K780" s="1"/>
    </row>
    <row r="781" spans="9:11" x14ac:dyDescent="0.25">
      <c r="I781" s="1"/>
      <c r="J781" s="1"/>
      <c r="K781" s="1"/>
    </row>
    <row r="782" spans="9:11" x14ac:dyDescent="0.25">
      <c r="I782" s="1"/>
      <c r="J782" s="1"/>
      <c r="K782" s="1"/>
    </row>
    <row r="783" spans="9:11" x14ac:dyDescent="0.25">
      <c r="I783" s="1"/>
      <c r="J783" s="1"/>
      <c r="K783" s="1"/>
    </row>
    <row r="784" spans="9:11" x14ac:dyDescent="0.25">
      <c r="I784" s="1"/>
      <c r="J784" s="1"/>
      <c r="K784" s="1"/>
    </row>
    <row r="785" spans="9:11" x14ac:dyDescent="0.25">
      <c r="I785" s="1"/>
      <c r="J785" s="1"/>
      <c r="K785" s="1"/>
    </row>
    <row r="786" spans="9:11" x14ac:dyDescent="0.25">
      <c r="I786" s="1"/>
      <c r="J786" s="1"/>
      <c r="K786" s="1"/>
    </row>
    <row r="787" spans="9:11" x14ac:dyDescent="0.25">
      <c r="I787" s="1"/>
      <c r="J787" s="1"/>
      <c r="K787" s="1"/>
    </row>
    <row r="788" spans="9:11" x14ac:dyDescent="0.25">
      <c r="I788" s="1"/>
      <c r="J788" s="1"/>
      <c r="K788" s="1"/>
    </row>
    <row r="789" spans="9:11" x14ac:dyDescent="0.25">
      <c r="I789" s="1"/>
      <c r="J789" s="1"/>
      <c r="K789" s="1"/>
    </row>
    <row r="790" spans="9:11" x14ac:dyDescent="0.25">
      <c r="I790" s="1"/>
      <c r="J790" s="1"/>
      <c r="K790" s="1"/>
    </row>
    <row r="791" spans="9:11" x14ac:dyDescent="0.25">
      <c r="I791" s="1"/>
      <c r="J791" s="1"/>
      <c r="K791" s="1"/>
    </row>
    <row r="792" spans="9:11" x14ac:dyDescent="0.25">
      <c r="I792" s="1"/>
      <c r="J792" s="1"/>
      <c r="K792" s="1"/>
    </row>
    <row r="793" spans="9:11" x14ac:dyDescent="0.25">
      <c r="I793" s="1"/>
      <c r="J793" s="1"/>
      <c r="K793" s="1"/>
    </row>
    <row r="794" spans="9:11" x14ac:dyDescent="0.25">
      <c r="I794" s="1"/>
      <c r="J794" s="1"/>
      <c r="K794" s="1"/>
    </row>
    <row r="795" spans="9:11" x14ac:dyDescent="0.25">
      <c r="I795" s="1"/>
      <c r="J795" s="1"/>
      <c r="K795" s="1"/>
    </row>
    <row r="796" spans="9:11" x14ac:dyDescent="0.25">
      <c r="I796" s="1"/>
      <c r="J796" s="1"/>
      <c r="K796" s="1"/>
    </row>
    <row r="797" spans="9:11" x14ac:dyDescent="0.25">
      <c r="I797" s="1"/>
      <c r="J797" s="1"/>
      <c r="K797" s="1"/>
    </row>
    <row r="798" spans="9:11" x14ac:dyDescent="0.25">
      <c r="I798" s="1"/>
      <c r="J798" s="1"/>
      <c r="K798" s="1"/>
    </row>
    <row r="799" spans="9:11" x14ac:dyDescent="0.25">
      <c r="I799" s="1"/>
      <c r="J799" s="1"/>
      <c r="K799" s="1"/>
    </row>
    <row r="800" spans="9:11" x14ac:dyDescent="0.25">
      <c r="I800" s="1"/>
      <c r="J800" s="1"/>
      <c r="K800" s="1"/>
    </row>
    <row r="801" spans="9:11" x14ac:dyDescent="0.25">
      <c r="I801" s="1"/>
      <c r="J801" s="1"/>
      <c r="K801" s="1"/>
    </row>
    <row r="802" spans="9:11" x14ac:dyDescent="0.25">
      <c r="I802" s="1"/>
      <c r="J802" s="1"/>
      <c r="K802" s="1"/>
    </row>
    <row r="803" spans="9:11" x14ac:dyDescent="0.25">
      <c r="I803" s="1"/>
      <c r="J803" s="1"/>
      <c r="K803" s="1"/>
    </row>
    <row r="804" spans="9:11" x14ac:dyDescent="0.25">
      <c r="I804" s="1"/>
      <c r="J804" s="1"/>
      <c r="K804" s="1"/>
    </row>
    <row r="805" spans="9:11" x14ac:dyDescent="0.25">
      <c r="I805" s="1"/>
      <c r="J805" s="1"/>
      <c r="K805" s="1"/>
    </row>
    <row r="806" spans="9:11" x14ac:dyDescent="0.25">
      <c r="I806" s="1"/>
      <c r="J806" s="1"/>
      <c r="K806" s="1"/>
    </row>
    <row r="807" spans="9:11" x14ac:dyDescent="0.25">
      <c r="I807" s="1"/>
      <c r="J807" s="1"/>
      <c r="K807" s="1"/>
    </row>
    <row r="808" spans="9:11" x14ac:dyDescent="0.25">
      <c r="I808" s="1"/>
      <c r="J808" s="1"/>
      <c r="K808" s="1"/>
    </row>
    <row r="809" spans="9:11" x14ac:dyDescent="0.25">
      <c r="I809" s="1"/>
      <c r="J809" s="1"/>
      <c r="K809" s="1"/>
    </row>
    <row r="810" spans="9:11" x14ac:dyDescent="0.25">
      <c r="I810" s="1"/>
      <c r="J810" s="1"/>
      <c r="K810" s="1"/>
    </row>
    <row r="811" spans="9:11" x14ac:dyDescent="0.25">
      <c r="I811" s="1"/>
      <c r="J811" s="1"/>
      <c r="K811" s="1"/>
    </row>
    <row r="812" spans="9:11" x14ac:dyDescent="0.25">
      <c r="I812" s="1"/>
      <c r="J812" s="1"/>
      <c r="K812" s="1"/>
    </row>
    <row r="813" spans="9:11" x14ac:dyDescent="0.25">
      <c r="I813" s="1"/>
      <c r="J813" s="1"/>
      <c r="K813" s="1"/>
    </row>
    <row r="814" spans="9:11" x14ac:dyDescent="0.25">
      <c r="I814" s="1"/>
      <c r="J814" s="1"/>
      <c r="K814" s="1"/>
    </row>
    <row r="815" spans="9:11" x14ac:dyDescent="0.25">
      <c r="I815" s="1"/>
      <c r="J815" s="1"/>
      <c r="K815" s="1"/>
    </row>
    <row r="816" spans="9:11" x14ac:dyDescent="0.25">
      <c r="I816" s="1"/>
      <c r="J816" s="1"/>
      <c r="K816" s="1"/>
    </row>
    <row r="817" spans="9:11" x14ac:dyDescent="0.25">
      <c r="I817" s="1"/>
      <c r="J817" s="1"/>
      <c r="K817" s="1"/>
    </row>
    <row r="818" spans="9:11" x14ac:dyDescent="0.25">
      <c r="I818" s="1"/>
      <c r="J818" s="1"/>
      <c r="K818" s="1"/>
    </row>
    <row r="819" spans="9:11" x14ac:dyDescent="0.25">
      <c r="I819" s="1"/>
      <c r="J819" s="1"/>
      <c r="K819" s="1"/>
    </row>
    <row r="820" spans="9:11" x14ac:dyDescent="0.25">
      <c r="I820" s="1"/>
      <c r="J820" s="1"/>
      <c r="K820" s="1"/>
    </row>
    <row r="821" spans="9:11" x14ac:dyDescent="0.25">
      <c r="I821" s="1"/>
      <c r="J821" s="1"/>
      <c r="K821" s="1"/>
    </row>
    <row r="822" spans="9:11" x14ac:dyDescent="0.25">
      <c r="I822" s="1" t="str">
        <f t="shared" ref="I822:I870" si="9">IF(AND(B822&lt;&gt;""),CONCATENATE("INSERT INTO oys.Kod (ID,TIP_ID,SIRA,KOD,KISA_AD,DIGER_UYG_ENUM_AD,DIGER_UYG_ID)VALUES(",A822,",",B822,",",C822,,",","'",D822,"'",",","'",F822,"'",",",IF(_xlfn.IFNA(G822,0)&gt;0,CONCATENATE("'",G822,"'"),"null"),",",IF(_xlfn.IFNA(G822,0)&gt;0,CONCATENATE("'",H822,"'"),"null"),");"),"")</f>
        <v/>
      </c>
      <c r="J822" s="1" t="str">
        <f t="shared" ref="J822:J866" si="10">IF(AND(B822&lt;&gt;"",B822=0),CONCATENATE(" public enum ",E822,"{","
        }"),"")</f>
        <v/>
      </c>
      <c r="K822" s="1" t="str">
        <f>myfn_bosluklariVeIsaretleridDuzenle(myfn_bosluklariVeIsaretleridDuzenle(IF(B822&lt;&gt;0,CONCATENATE(E822,"=",A822,","),"")))</f>
        <v/>
      </c>
    </row>
    <row r="823" spans="9:11" x14ac:dyDescent="0.25">
      <c r="I823" s="1" t="str">
        <f t="shared" si="9"/>
        <v/>
      </c>
      <c r="J823" s="1" t="str">
        <f t="shared" si="10"/>
        <v/>
      </c>
      <c r="K823" s="1" t="str">
        <f>myfn_bosluklariVeIsaretleridDuzenle(myfn_bosluklariVeIsaretleridDuzenle(IF(B823&lt;&gt;0,CONCATENATE(E823,"=",A823,","),"")))</f>
        <v/>
      </c>
    </row>
    <row r="824" spans="9:11" x14ac:dyDescent="0.25">
      <c r="I824" s="1" t="str">
        <f t="shared" si="9"/>
        <v/>
      </c>
      <c r="J824" s="1" t="str">
        <f t="shared" si="10"/>
        <v/>
      </c>
      <c r="K824" s="1" t="str">
        <f>myfn_bosluklariVeIsaretleridDuzenle(myfn_bosluklariVeIsaretleridDuzenle(IF(B824&lt;&gt;0,CONCATENATE(E824,"=",A824,","),"")))</f>
        <v/>
      </c>
    </row>
    <row r="825" spans="9:11" x14ac:dyDescent="0.25">
      <c r="I825" s="1" t="str">
        <f t="shared" si="9"/>
        <v/>
      </c>
      <c r="J825" s="1" t="str">
        <f t="shared" si="10"/>
        <v/>
      </c>
      <c r="K825" s="1" t="str">
        <f>myfn_bosluklariVeIsaretleridDuzenle(myfn_bosluklariVeIsaretleridDuzenle(IF(B825&lt;&gt;0,CONCATENATE(E825,"=",A825,","),"")))</f>
        <v/>
      </c>
    </row>
    <row r="826" spans="9:11" x14ac:dyDescent="0.25">
      <c r="I826" s="1" t="str">
        <f t="shared" si="9"/>
        <v/>
      </c>
      <c r="J826" s="1" t="str">
        <f t="shared" si="10"/>
        <v/>
      </c>
      <c r="K826" s="1" t="str">
        <f>myfn_bosluklariVeIsaretleridDuzenle(myfn_bosluklariVeIsaretleridDuzenle(IF(B826&lt;&gt;0,CONCATENATE(E826,"=",A826,","),"")))</f>
        <v/>
      </c>
    </row>
    <row r="827" spans="9:11" x14ac:dyDescent="0.25">
      <c r="I827" s="1" t="str">
        <f t="shared" si="9"/>
        <v/>
      </c>
      <c r="J827" s="1" t="str">
        <f t="shared" si="10"/>
        <v/>
      </c>
      <c r="K827" s="1" t="str">
        <f>myfn_bosluklariVeIsaretleridDuzenle(myfn_bosluklariVeIsaretleridDuzenle(IF(B827&lt;&gt;0,CONCATENATE(E827,"=",A827,","),"")))</f>
        <v/>
      </c>
    </row>
    <row r="828" spans="9:11" x14ac:dyDescent="0.25">
      <c r="I828" s="1" t="str">
        <f t="shared" si="9"/>
        <v/>
      </c>
      <c r="J828" s="1" t="str">
        <f t="shared" si="10"/>
        <v/>
      </c>
      <c r="K828" s="1" t="str">
        <f>myfn_bosluklariVeIsaretleridDuzenle(myfn_bosluklariVeIsaretleridDuzenle(IF(B828&lt;&gt;0,CONCATENATE(E828,"=",A828,","),"")))</f>
        <v/>
      </c>
    </row>
    <row r="829" spans="9:11" x14ac:dyDescent="0.25">
      <c r="I829" s="1" t="str">
        <f t="shared" si="9"/>
        <v/>
      </c>
      <c r="J829" s="1" t="str">
        <f t="shared" si="10"/>
        <v/>
      </c>
      <c r="K829" s="1" t="str">
        <f>myfn_bosluklariVeIsaretleridDuzenle(myfn_bosluklariVeIsaretleridDuzenle(IF(B829&lt;&gt;0,CONCATENATE(E829,"=",A829,","),"")))</f>
        <v/>
      </c>
    </row>
    <row r="830" spans="9:11" x14ac:dyDescent="0.25">
      <c r="I830" s="1" t="str">
        <f t="shared" si="9"/>
        <v/>
      </c>
      <c r="J830" s="1" t="str">
        <f t="shared" si="10"/>
        <v/>
      </c>
      <c r="K830" s="1" t="str">
        <f>myfn_bosluklariVeIsaretleridDuzenle(myfn_bosluklariVeIsaretleridDuzenle(IF(B830&lt;&gt;0,CONCATENATE(E830,"=",A830,","),"")))</f>
        <v/>
      </c>
    </row>
    <row r="831" spans="9:11" x14ac:dyDescent="0.25">
      <c r="I831" s="1" t="str">
        <f t="shared" si="9"/>
        <v/>
      </c>
      <c r="J831" s="1" t="str">
        <f t="shared" si="10"/>
        <v/>
      </c>
      <c r="K831" s="1" t="str">
        <f>myfn_bosluklariVeIsaretleridDuzenle(myfn_bosluklariVeIsaretleridDuzenle(IF(B831&lt;&gt;0,CONCATENATE(E831,"=",A831,","),"")))</f>
        <v/>
      </c>
    </row>
    <row r="832" spans="9:11" x14ac:dyDescent="0.25">
      <c r="I832" s="1" t="str">
        <f t="shared" si="9"/>
        <v/>
      </c>
      <c r="J832" s="1" t="str">
        <f t="shared" si="10"/>
        <v/>
      </c>
      <c r="K832" s="1" t="str">
        <f>myfn_bosluklariVeIsaretleridDuzenle(myfn_bosluklariVeIsaretleridDuzenle(IF(B832&lt;&gt;0,CONCATENATE(E832,"=",A832,","),"")))</f>
        <v/>
      </c>
    </row>
    <row r="833" spans="9:11" x14ac:dyDescent="0.25">
      <c r="I833" s="1" t="str">
        <f t="shared" si="9"/>
        <v/>
      </c>
      <c r="J833" s="1" t="str">
        <f t="shared" si="10"/>
        <v/>
      </c>
      <c r="K833" s="1" t="str">
        <f>myfn_bosluklariVeIsaretleridDuzenle(myfn_bosluklariVeIsaretleridDuzenle(IF(B833&lt;&gt;0,CONCATENATE(E833,"=",A833,","),"")))</f>
        <v/>
      </c>
    </row>
    <row r="834" spans="9:11" x14ac:dyDescent="0.25">
      <c r="I834" s="1" t="str">
        <f t="shared" si="9"/>
        <v/>
      </c>
      <c r="J834" s="1" t="str">
        <f t="shared" si="10"/>
        <v/>
      </c>
      <c r="K834" s="1" t="str">
        <f>myfn_bosluklariVeIsaretleridDuzenle(myfn_bosluklariVeIsaretleridDuzenle(IF(B834&lt;&gt;0,CONCATENATE(E834,"=",A834,","),"")))</f>
        <v/>
      </c>
    </row>
    <row r="835" spans="9:11" x14ac:dyDescent="0.25">
      <c r="I835" s="1" t="str">
        <f t="shared" si="9"/>
        <v/>
      </c>
      <c r="J835" s="1" t="str">
        <f t="shared" si="10"/>
        <v/>
      </c>
      <c r="K835" s="1" t="str">
        <f>myfn_bosluklariVeIsaretleridDuzenle(myfn_bosluklariVeIsaretleridDuzenle(IF(B835&lt;&gt;0,CONCATENATE(E835,"=",A835,","),"")))</f>
        <v/>
      </c>
    </row>
    <row r="836" spans="9:11" x14ac:dyDescent="0.25">
      <c r="I836" s="1" t="str">
        <f t="shared" si="9"/>
        <v/>
      </c>
      <c r="J836" s="1" t="str">
        <f t="shared" si="10"/>
        <v/>
      </c>
      <c r="K836" s="1" t="str">
        <f>myfn_bosluklariVeIsaretleridDuzenle(myfn_bosluklariVeIsaretleridDuzenle(IF(B836&lt;&gt;0,CONCATENATE(E836,"=",A836,","),"")))</f>
        <v/>
      </c>
    </row>
    <row r="837" spans="9:11" x14ac:dyDescent="0.25">
      <c r="I837" s="1" t="str">
        <f t="shared" si="9"/>
        <v/>
      </c>
      <c r="J837" s="1" t="str">
        <f t="shared" si="10"/>
        <v/>
      </c>
      <c r="K837" s="1" t="str">
        <f>myfn_bosluklariVeIsaretleridDuzenle(myfn_bosluklariVeIsaretleridDuzenle(IF(B837&lt;&gt;0,CONCATENATE(E837,"=",A837,","),"")))</f>
        <v/>
      </c>
    </row>
    <row r="838" spans="9:11" x14ac:dyDescent="0.25">
      <c r="I838" s="1" t="str">
        <f t="shared" si="9"/>
        <v/>
      </c>
      <c r="J838" s="1" t="str">
        <f t="shared" si="10"/>
        <v/>
      </c>
      <c r="K838" s="1" t="str">
        <f>myfn_bosluklariVeIsaretleridDuzenle(myfn_bosluklariVeIsaretleridDuzenle(IF(B838&lt;&gt;0,CONCATENATE(E838,"=",A838,","),"")))</f>
        <v/>
      </c>
    </row>
    <row r="839" spans="9:11" x14ac:dyDescent="0.25">
      <c r="I839" s="1" t="str">
        <f t="shared" si="9"/>
        <v/>
      </c>
      <c r="J839" s="1" t="str">
        <f t="shared" si="10"/>
        <v/>
      </c>
      <c r="K839" s="1" t="str">
        <f>myfn_bosluklariVeIsaretleridDuzenle(myfn_bosluklariVeIsaretleridDuzenle(IF(B839&lt;&gt;0,CONCATENATE(E839,"=",A839,","),"")))</f>
        <v/>
      </c>
    </row>
    <row r="840" spans="9:11" x14ac:dyDescent="0.25">
      <c r="I840" s="1" t="str">
        <f t="shared" si="9"/>
        <v/>
      </c>
      <c r="J840" s="1" t="str">
        <f t="shared" si="10"/>
        <v/>
      </c>
      <c r="K840" s="1" t="str">
        <f>myfn_bosluklariVeIsaretleridDuzenle(myfn_bosluklariVeIsaretleridDuzenle(IF(B840&lt;&gt;0,CONCATENATE(E840,"=",A840,","),"")))</f>
        <v/>
      </c>
    </row>
    <row r="841" spans="9:11" x14ac:dyDescent="0.25">
      <c r="I841" s="1" t="str">
        <f t="shared" si="9"/>
        <v/>
      </c>
      <c r="J841" s="1" t="str">
        <f t="shared" si="10"/>
        <v/>
      </c>
      <c r="K841" s="1" t="str">
        <f>myfn_bosluklariVeIsaretleridDuzenle(myfn_bosluklariVeIsaretleridDuzenle(IF(B841&lt;&gt;0,CONCATENATE(E841,"=",A841,","),"")))</f>
        <v/>
      </c>
    </row>
    <row r="842" spans="9:11" x14ac:dyDescent="0.25">
      <c r="I842" s="1" t="str">
        <f t="shared" si="9"/>
        <v/>
      </c>
      <c r="J842" s="1" t="str">
        <f t="shared" si="10"/>
        <v/>
      </c>
      <c r="K842" s="1" t="str">
        <f>myfn_bosluklariVeIsaretleridDuzenle(myfn_bosluklariVeIsaretleridDuzenle(IF(B842&lt;&gt;0,CONCATENATE(E842,"=",A842,","),"")))</f>
        <v/>
      </c>
    </row>
    <row r="843" spans="9:11" x14ac:dyDescent="0.25">
      <c r="I843" s="1" t="str">
        <f t="shared" si="9"/>
        <v/>
      </c>
      <c r="J843" s="1" t="str">
        <f t="shared" si="10"/>
        <v/>
      </c>
      <c r="K843" s="1" t="str">
        <f>myfn_bosluklariVeIsaretleridDuzenle(myfn_bosluklariVeIsaretleridDuzenle(IF(B843&lt;&gt;0,CONCATENATE(E843,"=",A843,","),"")))</f>
        <v/>
      </c>
    </row>
    <row r="844" spans="9:11" x14ac:dyDescent="0.25">
      <c r="I844" s="1" t="str">
        <f t="shared" si="9"/>
        <v/>
      </c>
      <c r="J844" s="1" t="str">
        <f t="shared" si="10"/>
        <v/>
      </c>
      <c r="K844" s="1" t="str">
        <f>myfn_bosluklariVeIsaretleridDuzenle(myfn_bosluklariVeIsaretleridDuzenle(IF(B844&lt;&gt;0,CONCATENATE(E844,"=",A844,","),"")))</f>
        <v/>
      </c>
    </row>
    <row r="845" spans="9:11" x14ac:dyDescent="0.25">
      <c r="I845" s="1" t="str">
        <f t="shared" si="9"/>
        <v/>
      </c>
      <c r="J845" s="1" t="str">
        <f t="shared" si="10"/>
        <v/>
      </c>
      <c r="K845" s="1" t="str">
        <f>myfn_bosluklariVeIsaretleridDuzenle(myfn_bosluklariVeIsaretleridDuzenle(IF(B845&lt;&gt;0,CONCATENATE(E845,"=",A845,","),"")))</f>
        <v/>
      </c>
    </row>
    <row r="846" spans="9:11" x14ac:dyDescent="0.25">
      <c r="I846" s="1" t="str">
        <f t="shared" si="9"/>
        <v/>
      </c>
      <c r="J846" s="1" t="str">
        <f t="shared" si="10"/>
        <v/>
      </c>
      <c r="K846" s="1" t="str">
        <f>myfn_bosluklariVeIsaretleridDuzenle(myfn_bosluklariVeIsaretleridDuzenle(IF(B846&lt;&gt;0,CONCATENATE(E846,"=",A846,","),"")))</f>
        <v/>
      </c>
    </row>
    <row r="847" spans="9:11" x14ac:dyDescent="0.25">
      <c r="I847" s="1" t="str">
        <f t="shared" si="9"/>
        <v/>
      </c>
      <c r="J847" s="1" t="str">
        <f t="shared" si="10"/>
        <v/>
      </c>
      <c r="K847" s="1" t="str">
        <f>myfn_bosluklariVeIsaretleridDuzenle(myfn_bosluklariVeIsaretleridDuzenle(IF(B847&lt;&gt;0,CONCATENATE(E847,"=",A847,","),"")))</f>
        <v/>
      </c>
    </row>
    <row r="848" spans="9:11" x14ac:dyDescent="0.25">
      <c r="I848" s="1" t="str">
        <f t="shared" si="9"/>
        <v/>
      </c>
      <c r="J848" s="1" t="str">
        <f t="shared" si="10"/>
        <v/>
      </c>
      <c r="K848" s="1" t="str">
        <f>myfn_bosluklariVeIsaretleridDuzenle(myfn_bosluklariVeIsaretleridDuzenle(IF(B848&lt;&gt;0,CONCATENATE(E848,"=",A848,","),"")))</f>
        <v/>
      </c>
    </row>
    <row r="849" spans="9:11" x14ac:dyDescent="0.25">
      <c r="I849" s="1" t="str">
        <f t="shared" si="9"/>
        <v/>
      </c>
      <c r="J849" s="1" t="str">
        <f t="shared" si="10"/>
        <v/>
      </c>
      <c r="K849" s="1" t="str">
        <f>myfn_bosluklariVeIsaretleridDuzenle(myfn_bosluklariVeIsaretleridDuzenle(IF(B849&lt;&gt;0,CONCATENATE(E849,"=",A849,","),"")))</f>
        <v/>
      </c>
    </row>
    <row r="850" spans="9:11" x14ac:dyDescent="0.25">
      <c r="I850" s="1" t="str">
        <f t="shared" si="9"/>
        <v/>
      </c>
      <c r="J850" s="1" t="str">
        <f t="shared" si="10"/>
        <v/>
      </c>
      <c r="K850" s="1" t="str">
        <f>myfn_bosluklariVeIsaretleridDuzenle(myfn_bosluklariVeIsaretleridDuzenle(IF(B850&lt;&gt;0,CONCATENATE(E850,"=",A850,","),"")))</f>
        <v/>
      </c>
    </row>
    <row r="851" spans="9:11" x14ac:dyDescent="0.25">
      <c r="I851" s="1" t="str">
        <f t="shared" si="9"/>
        <v/>
      </c>
      <c r="J851" s="1" t="str">
        <f t="shared" si="10"/>
        <v/>
      </c>
      <c r="K851" s="1" t="str">
        <f>myfn_bosluklariVeIsaretleridDuzenle(myfn_bosluklariVeIsaretleridDuzenle(IF(B851&lt;&gt;0,CONCATENATE(E851,"=",A851,","),"")))</f>
        <v/>
      </c>
    </row>
    <row r="852" spans="9:11" x14ac:dyDescent="0.25">
      <c r="I852" s="1" t="str">
        <f t="shared" si="9"/>
        <v/>
      </c>
      <c r="J852" s="1" t="str">
        <f t="shared" si="10"/>
        <v/>
      </c>
      <c r="K852" s="1" t="str">
        <f>myfn_bosluklariVeIsaretleridDuzenle(myfn_bosluklariVeIsaretleridDuzenle(IF(B852&lt;&gt;0,CONCATENATE(E852,"=",A852,","),"")))</f>
        <v/>
      </c>
    </row>
    <row r="853" spans="9:11" x14ac:dyDescent="0.25">
      <c r="I853" s="1" t="str">
        <f t="shared" si="9"/>
        <v/>
      </c>
      <c r="J853" s="1" t="str">
        <f t="shared" si="10"/>
        <v/>
      </c>
      <c r="K853" s="1" t="str">
        <f>myfn_bosluklariVeIsaretleridDuzenle(myfn_bosluklariVeIsaretleridDuzenle(IF(B853&lt;&gt;0,CONCATENATE(E853,"=",A853,","),"")))</f>
        <v/>
      </c>
    </row>
    <row r="854" spans="9:11" x14ac:dyDescent="0.25">
      <c r="I854" s="1" t="str">
        <f t="shared" si="9"/>
        <v/>
      </c>
      <c r="J854" s="1" t="str">
        <f t="shared" si="10"/>
        <v/>
      </c>
      <c r="K854" s="1" t="str">
        <f>myfn_bosluklariVeIsaretleridDuzenle(myfn_bosluklariVeIsaretleridDuzenle(IF(B854&lt;&gt;0,CONCATENATE(E854,"=",A854,","),"")))</f>
        <v/>
      </c>
    </row>
    <row r="855" spans="9:11" x14ac:dyDescent="0.25">
      <c r="I855" s="1" t="str">
        <f t="shared" si="9"/>
        <v/>
      </c>
      <c r="J855" s="1" t="str">
        <f t="shared" si="10"/>
        <v/>
      </c>
      <c r="K855" s="1" t="str">
        <f>myfn_bosluklariVeIsaretleridDuzenle(myfn_bosluklariVeIsaretleridDuzenle(IF(B855&lt;&gt;0,CONCATENATE(E855,"=",A855,","),"")))</f>
        <v/>
      </c>
    </row>
    <row r="856" spans="9:11" x14ac:dyDescent="0.25">
      <c r="I856" s="1" t="str">
        <f t="shared" si="9"/>
        <v/>
      </c>
      <c r="J856" s="1" t="str">
        <f t="shared" si="10"/>
        <v/>
      </c>
      <c r="K856" s="1" t="str">
        <f>myfn_bosluklariVeIsaretleridDuzenle(myfn_bosluklariVeIsaretleridDuzenle(IF(B856&lt;&gt;0,CONCATENATE(E856,"=",A856,","),"")))</f>
        <v/>
      </c>
    </row>
    <row r="857" spans="9:11" x14ac:dyDescent="0.25">
      <c r="I857" s="1" t="str">
        <f t="shared" si="9"/>
        <v/>
      </c>
      <c r="J857" s="1" t="str">
        <f t="shared" si="10"/>
        <v/>
      </c>
      <c r="K857" s="1" t="str">
        <f>myfn_bosluklariVeIsaretleridDuzenle(myfn_bosluklariVeIsaretleridDuzenle(IF(B857&lt;&gt;0,CONCATENATE(E857,"=",A857,","),"")))</f>
        <v/>
      </c>
    </row>
    <row r="858" spans="9:11" x14ac:dyDescent="0.25">
      <c r="I858" s="1" t="str">
        <f t="shared" si="9"/>
        <v/>
      </c>
      <c r="J858" s="1" t="str">
        <f t="shared" si="10"/>
        <v/>
      </c>
      <c r="K858" s="1" t="str">
        <f>myfn_bosluklariVeIsaretleridDuzenle(myfn_bosluklariVeIsaretleridDuzenle(IF(B858&lt;&gt;0,CONCATENATE(E858,"=",A858,","),"")))</f>
        <v/>
      </c>
    </row>
    <row r="859" spans="9:11" x14ac:dyDescent="0.25">
      <c r="I859" s="1" t="str">
        <f t="shared" si="9"/>
        <v/>
      </c>
      <c r="J859" s="1" t="str">
        <f t="shared" si="10"/>
        <v/>
      </c>
      <c r="K859" s="1" t="str">
        <f>myfn_bosluklariVeIsaretleridDuzenle(myfn_bosluklariVeIsaretleridDuzenle(IF(B859&lt;&gt;0,CONCATENATE(E859,"=",A859,","),"")))</f>
        <v/>
      </c>
    </row>
    <row r="860" spans="9:11" x14ac:dyDescent="0.25">
      <c r="I860" s="1" t="str">
        <f t="shared" si="9"/>
        <v/>
      </c>
      <c r="J860" s="1" t="str">
        <f t="shared" si="10"/>
        <v/>
      </c>
      <c r="K860" s="1" t="str">
        <f>myfn_bosluklariVeIsaretleridDuzenle(myfn_bosluklariVeIsaretleridDuzenle(IF(B860&lt;&gt;0,CONCATENATE(E860,"=",A860,","),"")))</f>
        <v/>
      </c>
    </row>
    <row r="861" spans="9:11" x14ac:dyDescent="0.25">
      <c r="I861" s="1" t="str">
        <f t="shared" si="9"/>
        <v/>
      </c>
      <c r="J861" s="1" t="str">
        <f t="shared" si="10"/>
        <v/>
      </c>
      <c r="K861" s="1" t="str">
        <f>myfn_bosluklariVeIsaretleridDuzenle(myfn_bosluklariVeIsaretleridDuzenle(IF(B861&lt;&gt;0,CONCATENATE(E861,"=",A861,","),"")))</f>
        <v/>
      </c>
    </row>
    <row r="862" spans="9:11" x14ac:dyDescent="0.25">
      <c r="I862" s="1" t="str">
        <f t="shared" si="9"/>
        <v/>
      </c>
      <c r="J862" s="1" t="str">
        <f t="shared" si="10"/>
        <v/>
      </c>
      <c r="K862" s="1" t="str">
        <f>myfn_bosluklariVeIsaretleridDuzenle(myfn_bosluklariVeIsaretleridDuzenle(IF(B862&lt;&gt;0,CONCATENATE(E862,"=",A862,","),"")))</f>
        <v/>
      </c>
    </row>
    <row r="863" spans="9:11" x14ac:dyDescent="0.25">
      <c r="I863" s="1" t="str">
        <f t="shared" si="9"/>
        <v/>
      </c>
      <c r="J863" s="1" t="str">
        <f t="shared" si="10"/>
        <v/>
      </c>
      <c r="K863" s="1" t="str">
        <f>myfn_bosluklariVeIsaretleridDuzenle(myfn_bosluklariVeIsaretleridDuzenle(IF(B863&lt;&gt;0,CONCATENATE(E863,"=",A863,","),"")))</f>
        <v/>
      </c>
    </row>
    <row r="864" spans="9:11" x14ac:dyDescent="0.25">
      <c r="I864" s="1" t="str">
        <f t="shared" si="9"/>
        <v/>
      </c>
      <c r="J864" s="1" t="str">
        <f t="shared" si="10"/>
        <v/>
      </c>
      <c r="K864" s="1" t="str">
        <f>myfn_bosluklariVeIsaretleridDuzenle(myfn_bosluklariVeIsaretleridDuzenle(IF(B864&lt;&gt;0,CONCATENATE(E864,"=",A864,","),"")))</f>
        <v/>
      </c>
    </row>
    <row r="865" spans="9:11" x14ac:dyDescent="0.25">
      <c r="I865" s="1" t="str">
        <f t="shared" si="9"/>
        <v/>
      </c>
      <c r="J865" s="1" t="str">
        <f t="shared" si="10"/>
        <v/>
      </c>
      <c r="K865" s="1" t="str">
        <f>myfn_bosluklariVeIsaretleridDuzenle(myfn_bosluklariVeIsaretleridDuzenle(IF(B865&lt;&gt;0,CONCATENATE(E865,"=",A865,","),"")))</f>
        <v/>
      </c>
    </row>
    <row r="866" spans="9:11" x14ac:dyDescent="0.25">
      <c r="I866" s="1" t="str">
        <f t="shared" si="9"/>
        <v/>
      </c>
      <c r="J866" s="1" t="str">
        <f t="shared" si="10"/>
        <v/>
      </c>
      <c r="K866" s="1" t="str">
        <f>myfn_bosluklariVeIsaretleridDuzenle(myfn_bosluklariVeIsaretleridDuzenle(IF(B866&lt;&gt;0,CONCATENATE(E866,"=",A866,","),"")))</f>
        <v/>
      </c>
    </row>
    <row r="867" spans="9:11" x14ac:dyDescent="0.25">
      <c r="I867" s="1" t="str">
        <f t="shared" si="9"/>
        <v/>
      </c>
      <c r="J867" s="1" t="str">
        <f t="shared" ref="J867:J930" si="11">IF(AND(B867&lt;&gt;"",B867=0),CONCATENATE(" public enum ",E867,"{","
        }"),"")</f>
        <v/>
      </c>
      <c r="K867" s="1" t="str">
        <f>myfn_bosluklariVeIsaretleridDuzenle(myfn_bosluklariVeIsaretleridDuzenle(IF(B867&lt;&gt;0,CONCATENATE(E867,"=",A867,","),"")))</f>
        <v/>
      </c>
    </row>
    <row r="868" spans="9:11" x14ac:dyDescent="0.25">
      <c r="I868" s="1" t="str">
        <f t="shared" si="9"/>
        <v/>
      </c>
      <c r="J868" s="1" t="str">
        <f t="shared" si="11"/>
        <v/>
      </c>
      <c r="K868" s="1" t="str">
        <f>myfn_bosluklariVeIsaretleridDuzenle(myfn_bosluklariVeIsaretleridDuzenle(IF(B868&lt;&gt;0,CONCATENATE(E868,"=",A868,","),"")))</f>
        <v/>
      </c>
    </row>
    <row r="869" spans="9:11" x14ac:dyDescent="0.25">
      <c r="I869" s="1" t="str">
        <f t="shared" si="9"/>
        <v/>
      </c>
      <c r="J869" s="1" t="str">
        <f t="shared" si="11"/>
        <v/>
      </c>
      <c r="K869" s="1" t="str">
        <f>myfn_bosluklariVeIsaretleridDuzenle(myfn_bosluklariVeIsaretleridDuzenle(IF(B869&lt;&gt;0,CONCATENATE(E869,"=",A869,","),"")))</f>
        <v/>
      </c>
    </row>
    <row r="870" spans="9:11" x14ac:dyDescent="0.25">
      <c r="I870" s="1" t="str">
        <f t="shared" si="9"/>
        <v/>
      </c>
      <c r="J870" s="1" t="str">
        <f t="shared" si="11"/>
        <v/>
      </c>
      <c r="K870" s="1" t="str">
        <f>myfn_bosluklariVeIsaretleridDuzenle(myfn_bosluklariVeIsaretleridDuzenle(IF(B870&lt;&gt;0,CONCATENATE(E870,"=",A870,","),"")))</f>
        <v/>
      </c>
    </row>
    <row r="871" spans="9:11" x14ac:dyDescent="0.25">
      <c r="I871" s="1" t="str">
        <f t="shared" ref="I871:I934" si="12">IF(AND(B871&lt;&gt;""),CONCATENATE("INSERT INTO oys.Kod (ID,TIP_ID,SIRA,KOD,KISA_AD,DIGER_UYG_ENUM_AD,DIGER_UYG_ID)VALUES(",A871,",",B871,",",C871,,",","'",D871,"'",",","'",F871,"'",",",IF(_xlfn.IFNA(G871,0)&gt;0,CONCATENATE("'",G871,"'"),"null"),",",IF(_xlfn.IFNA(G871,0)&gt;0,CONCATENATE("'",H871,"'"),"null"),");"),"")</f>
        <v/>
      </c>
      <c r="J871" s="1" t="str">
        <f t="shared" si="11"/>
        <v/>
      </c>
      <c r="K871" s="1" t="str">
        <f>myfn_bosluklariVeIsaretleridDuzenle(myfn_bosluklariVeIsaretleridDuzenle(IF(B871&lt;&gt;0,CONCATENATE(E871,"=",A871,","),"")))</f>
        <v/>
      </c>
    </row>
    <row r="872" spans="9:11" x14ac:dyDescent="0.25">
      <c r="I872" s="1" t="str">
        <f t="shared" si="12"/>
        <v/>
      </c>
      <c r="J872" s="1" t="str">
        <f t="shared" si="11"/>
        <v/>
      </c>
      <c r="K872" s="1" t="str">
        <f>myfn_bosluklariVeIsaretleridDuzenle(myfn_bosluklariVeIsaretleridDuzenle(IF(B872&lt;&gt;0,CONCATENATE(E872,"=",A872,","),"")))</f>
        <v/>
      </c>
    </row>
    <row r="873" spans="9:11" x14ac:dyDescent="0.25">
      <c r="I873" s="1" t="str">
        <f t="shared" si="12"/>
        <v/>
      </c>
      <c r="J873" s="1" t="str">
        <f t="shared" si="11"/>
        <v/>
      </c>
      <c r="K873" s="1" t="str">
        <f>myfn_bosluklariVeIsaretleridDuzenle(myfn_bosluklariVeIsaretleridDuzenle(IF(B873&lt;&gt;0,CONCATENATE(E873,"=",A873,","),"")))</f>
        <v/>
      </c>
    </row>
    <row r="874" spans="9:11" x14ac:dyDescent="0.25">
      <c r="I874" s="1" t="str">
        <f t="shared" si="12"/>
        <v/>
      </c>
      <c r="J874" s="1" t="str">
        <f t="shared" si="11"/>
        <v/>
      </c>
      <c r="K874" s="1" t="str">
        <f>myfn_bosluklariVeIsaretleridDuzenle(myfn_bosluklariVeIsaretleridDuzenle(IF(B874&lt;&gt;0,CONCATENATE(E874,"=",A874,","),"")))</f>
        <v/>
      </c>
    </row>
    <row r="875" spans="9:11" x14ac:dyDescent="0.25">
      <c r="I875" s="1" t="str">
        <f t="shared" si="12"/>
        <v/>
      </c>
      <c r="J875" s="1" t="str">
        <f t="shared" si="11"/>
        <v/>
      </c>
      <c r="K875" s="1" t="str">
        <f>myfn_bosluklariVeIsaretleridDuzenle(myfn_bosluklariVeIsaretleridDuzenle(IF(B875&lt;&gt;0,CONCATENATE(E875,"=",A875,","),"")))</f>
        <v/>
      </c>
    </row>
    <row r="876" spans="9:11" x14ac:dyDescent="0.25">
      <c r="I876" s="1" t="str">
        <f t="shared" si="12"/>
        <v/>
      </c>
      <c r="J876" s="1" t="str">
        <f t="shared" si="11"/>
        <v/>
      </c>
      <c r="K876" s="1" t="str">
        <f>myfn_bosluklariVeIsaretleridDuzenle(myfn_bosluklariVeIsaretleridDuzenle(IF(B876&lt;&gt;0,CONCATENATE(E876,"=",A876,","),"")))</f>
        <v/>
      </c>
    </row>
    <row r="877" spans="9:11" x14ac:dyDescent="0.25">
      <c r="I877" s="1" t="str">
        <f t="shared" si="12"/>
        <v/>
      </c>
      <c r="J877" s="1" t="str">
        <f t="shared" si="11"/>
        <v/>
      </c>
      <c r="K877" s="1" t="str">
        <f>myfn_bosluklariVeIsaretleridDuzenle(myfn_bosluklariVeIsaretleridDuzenle(IF(B877&lt;&gt;0,CONCATENATE(E877,"=",A877,","),"")))</f>
        <v/>
      </c>
    </row>
    <row r="878" spans="9:11" x14ac:dyDescent="0.25">
      <c r="I878" s="1" t="str">
        <f t="shared" si="12"/>
        <v/>
      </c>
      <c r="J878" s="1" t="str">
        <f t="shared" si="11"/>
        <v/>
      </c>
      <c r="K878" s="1" t="str">
        <f>myfn_bosluklariVeIsaretleridDuzenle(myfn_bosluklariVeIsaretleridDuzenle(IF(B878&lt;&gt;0,CONCATENATE(E878,"=",A878,","),"")))</f>
        <v/>
      </c>
    </row>
    <row r="879" spans="9:11" x14ac:dyDescent="0.25">
      <c r="I879" s="1" t="str">
        <f t="shared" si="12"/>
        <v/>
      </c>
      <c r="J879" s="1" t="str">
        <f t="shared" si="11"/>
        <v/>
      </c>
      <c r="K879" s="1" t="str">
        <f>myfn_bosluklariVeIsaretleridDuzenle(myfn_bosluklariVeIsaretleridDuzenle(IF(B879&lt;&gt;0,CONCATENATE(E879,"=",A879,","),"")))</f>
        <v/>
      </c>
    </row>
    <row r="880" spans="9:11" x14ac:dyDescent="0.25">
      <c r="I880" s="1" t="str">
        <f t="shared" si="12"/>
        <v/>
      </c>
      <c r="J880" s="1" t="str">
        <f t="shared" si="11"/>
        <v/>
      </c>
      <c r="K880" s="1" t="str">
        <f>myfn_bosluklariVeIsaretleridDuzenle(myfn_bosluklariVeIsaretleridDuzenle(IF(B880&lt;&gt;0,CONCATENATE(E880,"=",A880,","),"")))</f>
        <v/>
      </c>
    </row>
    <row r="881" spans="9:11" x14ac:dyDescent="0.25">
      <c r="I881" s="1" t="str">
        <f t="shared" si="12"/>
        <v/>
      </c>
      <c r="J881" s="1" t="str">
        <f t="shared" si="11"/>
        <v/>
      </c>
      <c r="K881" s="1" t="str">
        <f>myfn_bosluklariVeIsaretleridDuzenle(myfn_bosluklariVeIsaretleridDuzenle(IF(B881&lt;&gt;0,CONCATENATE(E881,"=",A881,","),"")))</f>
        <v/>
      </c>
    </row>
    <row r="882" spans="9:11" x14ac:dyDescent="0.25">
      <c r="I882" s="1" t="str">
        <f t="shared" si="12"/>
        <v/>
      </c>
      <c r="J882" s="1" t="str">
        <f t="shared" si="11"/>
        <v/>
      </c>
      <c r="K882" s="1" t="str">
        <f>myfn_bosluklariVeIsaretleridDuzenle(myfn_bosluklariVeIsaretleridDuzenle(IF(B882&lt;&gt;0,CONCATENATE(E882,"=",A882,","),"")))</f>
        <v/>
      </c>
    </row>
    <row r="883" spans="9:11" x14ac:dyDescent="0.25">
      <c r="I883" s="1" t="str">
        <f t="shared" si="12"/>
        <v/>
      </c>
      <c r="J883" s="1" t="str">
        <f t="shared" si="11"/>
        <v/>
      </c>
      <c r="K883" s="1" t="str">
        <f>myfn_bosluklariVeIsaretleridDuzenle(myfn_bosluklariVeIsaretleridDuzenle(IF(B883&lt;&gt;0,CONCATENATE(E883,"=",A883,","),"")))</f>
        <v/>
      </c>
    </row>
    <row r="884" spans="9:11" x14ac:dyDescent="0.25">
      <c r="I884" s="1" t="str">
        <f t="shared" si="12"/>
        <v/>
      </c>
      <c r="J884" s="1" t="str">
        <f t="shared" si="11"/>
        <v/>
      </c>
      <c r="K884" s="1" t="str">
        <f>myfn_bosluklariVeIsaretleridDuzenle(myfn_bosluklariVeIsaretleridDuzenle(IF(B884&lt;&gt;0,CONCATENATE(E884,"=",A884,","),"")))</f>
        <v/>
      </c>
    </row>
    <row r="885" spans="9:11" x14ac:dyDescent="0.25">
      <c r="I885" s="1" t="str">
        <f t="shared" si="12"/>
        <v/>
      </c>
      <c r="J885" s="1" t="str">
        <f t="shared" si="11"/>
        <v/>
      </c>
      <c r="K885" s="1" t="str">
        <f>myfn_bosluklariVeIsaretleridDuzenle(myfn_bosluklariVeIsaretleridDuzenle(IF(B885&lt;&gt;0,CONCATENATE(E885,"=",A885,","),"")))</f>
        <v/>
      </c>
    </row>
    <row r="886" spans="9:11" x14ac:dyDescent="0.25">
      <c r="I886" s="1" t="str">
        <f t="shared" si="12"/>
        <v/>
      </c>
      <c r="J886" s="1" t="str">
        <f t="shared" si="11"/>
        <v/>
      </c>
      <c r="K886" s="1" t="str">
        <f>myfn_bosluklariVeIsaretleridDuzenle(myfn_bosluklariVeIsaretleridDuzenle(IF(B886&lt;&gt;0,CONCATENATE(E886,"=",A886,","),"")))</f>
        <v/>
      </c>
    </row>
    <row r="887" spans="9:11" x14ac:dyDescent="0.25">
      <c r="I887" s="1" t="str">
        <f t="shared" si="12"/>
        <v/>
      </c>
      <c r="J887" s="1" t="str">
        <f t="shared" si="11"/>
        <v/>
      </c>
      <c r="K887" s="1" t="str">
        <f>myfn_bosluklariVeIsaretleridDuzenle(myfn_bosluklariVeIsaretleridDuzenle(IF(B887&lt;&gt;0,CONCATENATE(E887,"=",A887,","),"")))</f>
        <v/>
      </c>
    </row>
    <row r="888" spans="9:11" x14ac:dyDescent="0.25">
      <c r="I888" s="1" t="str">
        <f t="shared" si="12"/>
        <v/>
      </c>
      <c r="J888" s="1" t="str">
        <f t="shared" si="11"/>
        <v/>
      </c>
      <c r="K888" s="1" t="str">
        <f>myfn_bosluklariVeIsaretleridDuzenle(myfn_bosluklariVeIsaretleridDuzenle(IF(B888&lt;&gt;0,CONCATENATE(E888,"=",A888,","),"")))</f>
        <v/>
      </c>
    </row>
    <row r="889" spans="9:11" x14ac:dyDescent="0.25">
      <c r="I889" s="1" t="str">
        <f t="shared" si="12"/>
        <v/>
      </c>
      <c r="J889" s="1" t="str">
        <f t="shared" si="11"/>
        <v/>
      </c>
      <c r="K889" s="1" t="str">
        <f>myfn_bosluklariVeIsaretleridDuzenle(myfn_bosluklariVeIsaretleridDuzenle(IF(B889&lt;&gt;0,CONCATENATE(E889,"=",A889,","),"")))</f>
        <v/>
      </c>
    </row>
    <row r="890" spans="9:11" x14ac:dyDescent="0.25">
      <c r="I890" s="1" t="str">
        <f t="shared" si="12"/>
        <v/>
      </c>
      <c r="J890" s="1" t="str">
        <f t="shared" si="11"/>
        <v/>
      </c>
      <c r="K890" s="1" t="str">
        <f>myfn_bosluklariVeIsaretleridDuzenle(myfn_bosluklariVeIsaretleridDuzenle(IF(B890&lt;&gt;0,CONCATENATE(E890,"=",A890,","),"")))</f>
        <v/>
      </c>
    </row>
    <row r="891" spans="9:11" x14ac:dyDescent="0.25">
      <c r="I891" s="1" t="str">
        <f t="shared" si="12"/>
        <v/>
      </c>
      <c r="J891" s="1" t="str">
        <f t="shared" si="11"/>
        <v/>
      </c>
      <c r="K891" s="1" t="str">
        <f>myfn_bosluklariVeIsaretleridDuzenle(myfn_bosluklariVeIsaretleridDuzenle(IF(B891&lt;&gt;0,CONCATENATE(E891,"=",A891,","),"")))</f>
        <v/>
      </c>
    </row>
    <row r="892" spans="9:11" x14ac:dyDescent="0.25">
      <c r="I892" s="1" t="str">
        <f t="shared" si="12"/>
        <v/>
      </c>
      <c r="J892" s="1" t="str">
        <f t="shared" si="11"/>
        <v/>
      </c>
      <c r="K892" s="1" t="str">
        <f>myfn_bosluklariVeIsaretleridDuzenle(myfn_bosluklariVeIsaretleridDuzenle(IF(B892&lt;&gt;0,CONCATENATE(E892,"=",A892,","),"")))</f>
        <v/>
      </c>
    </row>
    <row r="893" spans="9:11" x14ac:dyDescent="0.25">
      <c r="I893" s="1" t="str">
        <f t="shared" si="12"/>
        <v/>
      </c>
      <c r="J893" s="1" t="str">
        <f t="shared" si="11"/>
        <v/>
      </c>
      <c r="K893" s="1" t="str">
        <f>myfn_bosluklariVeIsaretleridDuzenle(myfn_bosluklariVeIsaretleridDuzenle(IF(B893&lt;&gt;0,CONCATENATE(E893,"=",A893,","),"")))</f>
        <v/>
      </c>
    </row>
    <row r="894" spans="9:11" x14ac:dyDescent="0.25">
      <c r="I894" s="1" t="str">
        <f t="shared" si="12"/>
        <v/>
      </c>
      <c r="J894" s="1" t="str">
        <f t="shared" si="11"/>
        <v/>
      </c>
      <c r="K894" s="1" t="str">
        <f>myfn_bosluklariVeIsaretleridDuzenle(myfn_bosluklariVeIsaretleridDuzenle(IF(B894&lt;&gt;0,CONCATENATE(E894,"=",A894,","),"")))</f>
        <v/>
      </c>
    </row>
    <row r="895" spans="9:11" x14ac:dyDescent="0.25">
      <c r="I895" s="1" t="str">
        <f t="shared" si="12"/>
        <v/>
      </c>
      <c r="J895" s="1" t="str">
        <f t="shared" si="11"/>
        <v/>
      </c>
      <c r="K895" s="1" t="str">
        <f>myfn_bosluklariVeIsaretleridDuzenle(myfn_bosluklariVeIsaretleridDuzenle(IF(B895&lt;&gt;0,CONCATENATE(E895,"=",A895,","),"")))</f>
        <v/>
      </c>
    </row>
    <row r="896" spans="9:11" x14ac:dyDescent="0.25">
      <c r="I896" s="1" t="str">
        <f t="shared" si="12"/>
        <v/>
      </c>
      <c r="J896" s="1" t="str">
        <f t="shared" si="11"/>
        <v/>
      </c>
      <c r="K896" s="1" t="str">
        <f>myfn_bosluklariVeIsaretleridDuzenle(myfn_bosluklariVeIsaretleridDuzenle(IF(B896&lt;&gt;0,CONCATENATE(E896,"=",A896,","),"")))</f>
        <v/>
      </c>
    </row>
    <row r="897" spans="9:11" x14ac:dyDescent="0.25">
      <c r="I897" s="1" t="str">
        <f t="shared" si="12"/>
        <v/>
      </c>
      <c r="J897" s="1" t="str">
        <f t="shared" si="11"/>
        <v/>
      </c>
      <c r="K897" s="1" t="str">
        <f>myfn_bosluklariVeIsaretleridDuzenle(myfn_bosluklariVeIsaretleridDuzenle(IF(B897&lt;&gt;0,CONCATENATE(E897,"=",A897,","),"")))</f>
        <v/>
      </c>
    </row>
    <row r="898" spans="9:11" x14ac:dyDescent="0.25">
      <c r="I898" s="1" t="str">
        <f t="shared" si="12"/>
        <v/>
      </c>
      <c r="J898" s="1" t="str">
        <f t="shared" si="11"/>
        <v/>
      </c>
      <c r="K898" s="1" t="str">
        <f>myfn_bosluklariVeIsaretleridDuzenle(myfn_bosluklariVeIsaretleridDuzenle(IF(B898&lt;&gt;0,CONCATENATE(E898,"=",A898,","),"")))</f>
        <v/>
      </c>
    </row>
    <row r="899" spans="9:11" x14ac:dyDescent="0.25">
      <c r="I899" s="1" t="str">
        <f t="shared" si="12"/>
        <v/>
      </c>
      <c r="J899" s="1" t="str">
        <f t="shared" si="11"/>
        <v/>
      </c>
      <c r="K899" s="1" t="str">
        <f>myfn_bosluklariVeIsaretleridDuzenle(myfn_bosluklariVeIsaretleridDuzenle(IF(B899&lt;&gt;0,CONCATENATE(E899,"=",A899,","),"")))</f>
        <v/>
      </c>
    </row>
    <row r="900" spans="9:11" x14ac:dyDescent="0.25">
      <c r="I900" s="1" t="str">
        <f t="shared" si="12"/>
        <v/>
      </c>
      <c r="J900" s="1" t="str">
        <f t="shared" si="11"/>
        <v/>
      </c>
      <c r="K900" s="1" t="str">
        <f>myfn_bosluklariVeIsaretleridDuzenle(myfn_bosluklariVeIsaretleridDuzenle(IF(B900&lt;&gt;0,CONCATENATE(E900,"=",A900,","),"")))</f>
        <v/>
      </c>
    </row>
    <row r="901" spans="9:11" x14ac:dyDescent="0.25">
      <c r="I901" s="1" t="str">
        <f t="shared" si="12"/>
        <v/>
      </c>
      <c r="J901" s="1" t="str">
        <f t="shared" si="11"/>
        <v/>
      </c>
      <c r="K901" s="1" t="str">
        <f>myfn_bosluklariVeIsaretleridDuzenle(myfn_bosluklariVeIsaretleridDuzenle(IF(B901&lt;&gt;0,CONCATENATE(E901,"=",A901,","),"")))</f>
        <v/>
      </c>
    </row>
    <row r="902" spans="9:11" x14ac:dyDescent="0.25">
      <c r="I902" s="1" t="str">
        <f t="shared" si="12"/>
        <v/>
      </c>
      <c r="J902" s="1" t="str">
        <f t="shared" si="11"/>
        <v/>
      </c>
      <c r="K902" s="1" t="str">
        <f>myfn_bosluklariVeIsaretleridDuzenle(myfn_bosluklariVeIsaretleridDuzenle(IF(B902&lt;&gt;0,CONCATENATE(E902,"=",A902,","),"")))</f>
        <v/>
      </c>
    </row>
    <row r="903" spans="9:11" x14ac:dyDescent="0.25">
      <c r="I903" s="1" t="str">
        <f t="shared" si="12"/>
        <v/>
      </c>
      <c r="J903" s="1" t="str">
        <f t="shared" si="11"/>
        <v/>
      </c>
      <c r="K903" s="1" t="str">
        <f>myfn_bosluklariVeIsaretleridDuzenle(myfn_bosluklariVeIsaretleridDuzenle(IF(B903&lt;&gt;0,CONCATENATE(E903,"=",A903,","),"")))</f>
        <v/>
      </c>
    </row>
    <row r="904" spans="9:11" x14ac:dyDescent="0.25">
      <c r="I904" s="1" t="str">
        <f t="shared" si="12"/>
        <v/>
      </c>
      <c r="J904" s="1" t="str">
        <f t="shared" si="11"/>
        <v/>
      </c>
      <c r="K904" s="1" t="str">
        <f>myfn_bosluklariVeIsaretleridDuzenle(myfn_bosluklariVeIsaretleridDuzenle(IF(B904&lt;&gt;0,CONCATENATE(E904,"=",A904,","),"")))</f>
        <v/>
      </c>
    </row>
    <row r="905" spans="9:11" x14ac:dyDescent="0.25">
      <c r="I905" s="1" t="str">
        <f t="shared" si="12"/>
        <v/>
      </c>
      <c r="J905" s="1" t="str">
        <f t="shared" si="11"/>
        <v/>
      </c>
      <c r="K905" s="1" t="str">
        <f>myfn_bosluklariVeIsaretleridDuzenle(myfn_bosluklariVeIsaretleridDuzenle(IF(B905&lt;&gt;0,CONCATENATE(E905,"=",A905,","),"")))</f>
        <v/>
      </c>
    </row>
    <row r="906" spans="9:11" x14ac:dyDescent="0.25">
      <c r="I906" s="1" t="str">
        <f t="shared" si="12"/>
        <v/>
      </c>
      <c r="J906" s="1" t="str">
        <f t="shared" si="11"/>
        <v/>
      </c>
      <c r="K906" s="1" t="str">
        <f>myfn_bosluklariVeIsaretleridDuzenle(myfn_bosluklariVeIsaretleridDuzenle(IF(B906&lt;&gt;0,CONCATENATE(E906,"=",A906,","),"")))</f>
        <v/>
      </c>
    </row>
    <row r="907" spans="9:11" x14ac:dyDescent="0.25">
      <c r="I907" s="1" t="str">
        <f t="shared" si="12"/>
        <v/>
      </c>
      <c r="J907" s="1" t="str">
        <f t="shared" si="11"/>
        <v/>
      </c>
      <c r="K907" s="1" t="str">
        <f>myfn_bosluklariVeIsaretleridDuzenle(myfn_bosluklariVeIsaretleridDuzenle(IF(B907&lt;&gt;0,CONCATENATE(E907,"=",A907,","),"")))</f>
        <v/>
      </c>
    </row>
    <row r="908" spans="9:11" x14ac:dyDescent="0.25">
      <c r="I908" s="1" t="str">
        <f t="shared" si="12"/>
        <v/>
      </c>
      <c r="J908" s="1" t="str">
        <f t="shared" si="11"/>
        <v/>
      </c>
      <c r="K908" s="1" t="str">
        <f>myfn_bosluklariVeIsaretleridDuzenle(myfn_bosluklariVeIsaretleridDuzenle(IF(B908&lt;&gt;0,CONCATENATE(E908,"=",A908,","),"")))</f>
        <v/>
      </c>
    </row>
    <row r="909" spans="9:11" x14ac:dyDescent="0.25">
      <c r="I909" s="1" t="str">
        <f t="shared" si="12"/>
        <v/>
      </c>
      <c r="J909" s="1" t="str">
        <f t="shared" si="11"/>
        <v/>
      </c>
      <c r="K909" s="1" t="str">
        <f>myfn_bosluklariVeIsaretleridDuzenle(myfn_bosluklariVeIsaretleridDuzenle(IF(B909&lt;&gt;0,CONCATENATE(E909,"=",A909,","),"")))</f>
        <v/>
      </c>
    </row>
    <row r="910" spans="9:11" x14ac:dyDescent="0.25">
      <c r="I910" s="1" t="str">
        <f t="shared" si="12"/>
        <v/>
      </c>
      <c r="J910" s="1" t="str">
        <f t="shared" si="11"/>
        <v/>
      </c>
      <c r="K910" s="1" t="str">
        <f>myfn_bosluklariVeIsaretleridDuzenle(myfn_bosluklariVeIsaretleridDuzenle(IF(B910&lt;&gt;0,CONCATENATE(E910,"=",A910,","),"")))</f>
        <v/>
      </c>
    </row>
    <row r="911" spans="9:11" x14ac:dyDescent="0.25">
      <c r="I911" s="1" t="str">
        <f t="shared" si="12"/>
        <v/>
      </c>
      <c r="J911" s="1" t="str">
        <f t="shared" si="11"/>
        <v/>
      </c>
      <c r="K911" s="1" t="str">
        <f>myfn_bosluklariVeIsaretleridDuzenle(myfn_bosluklariVeIsaretleridDuzenle(IF(B911&lt;&gt;0,CONCATENATE(E911,"=",A911,","),"")))</f>
        <v/>
      </c>
    </row>
    <row r="912" spans="9:11" x14ac:dyDescent="0.25">
      <c r="I912" s="1" t="str">
        <f t="shared" si="12"/>
        <v/>
      </c>
      <c r="J912" s="1" t="str">
        <f t="shared" si="11"/>
        <v/>
      </c>
      <c r="K912" s="1" t="str">
        <f>myfn_bosluklariVeIsaretleridDuzenle(myfn_bosluklariVeIsaretleridDuzenle(IF(B912&lt;&gt;0,CONCATENATE(E912,"=",A912,","),"")))</f>
        <v/>
      </c>
    </row>
    <row r="913" spans="9:11" x14ac:dyDescent="0.25">
      <c r="I913" s="1" t="str">
        <f t="shared" si="12"/>
        <v/>
      </c>
      <c r="J913" s="1" t="str">
        <f t="shared" si="11"/>
        <v/>
      </c>
      <c r="K913" s="1" t="str">
        <f>myfn_bosluklariVeIsaretleridDuzenle(myfn_bosluklariVeIsaretleridDuzenle(IF(B913&lt;&gt;0,CONCATENATE(E913,"=",A913,","),"")))</f>
        <v/>
      </c>
    </row>
    <row r="914" spans="9:11" x14ac:dyDescent="0.25">
      <c r="I914" s="1" t="str">
        <f t="shared" si="12"/>
        <v/>
      </c>
      <c r="J914" s="1" t="str">
        <f t="shared" si="11"/>
        <v/>
      </c>
      <c r="K914" s="1" t="str">
        <f>myfn_bosluklariVeIsaretleridDuzenle(myfn_bosluklariVeIsaretleridDuzenle(IF(B914&lt;&gt;0,CONCATENATE(E914,"=",A914,","),"")))</f>
        <v/>
      </c>
    </row>
    <row r="915" spans="9:11" x14ac:dyDescent="0.25">
      <c r="I915" s="1" t="str">
        <f t="shared" si="12"/>
        <v/>
      </c>
      <c r="J915" s="1" t="str">
        <f t="shared" si="11"/>
        <v/>
      </c>
      <c r="K915" s="1" t="str">
        <f>myfn_bosluklariVeIsaretleridDuzenle(myfn_bosluklariVeIsaretleridDuzenle(IF(B915&lt;&gt;0,CONCATENATE(E915,"=",A915,","),"")))</f>
        <v/>
      </c>
    </row>
    <row r="916" spans="9:11" x14ac:dyDescent="0.25">
      <c r="I916" s="1" t="str">
        <f t="shared" si="12"/>
        <v/>
      </c>
      <c r="J916" s="1" t="str">
        <f t="shared" si="11"/>
        <v/>
      </c>
      <c r="K916" s="1" t="str">
        <f>myfn_bosluklariVeIsaretleridDuzenle(myfn_bosluklariVeIsaretleridDuzenle(IF(B916&lt;&gt;0,CONCATENATE(E916,"=",A916,","),"")))</f>
        <v/>
      </c>
    </row>
    <row r="917" spans="9:11" x14ac:dyDescent="0.25">
      <c r="I917" s="1" t="str">
        <f t="shared" si="12"/>
        <v/>
      </c>
      <c r="J917" s="1" t="str">
        <f t="shared" si="11"/>
        <v/>
      </c>
      <c r="K917" s="1" t="str">
        <f>myfn_bosluklariVeIsaretleridDuzenle(myfn_bosluklariVeIsaretleridDuzenle(IF(B917&lt;&gt;0,CONCATENATE(E917,"=",A917,","),"")))</f>
        <v/>
      </c>
    </row>
    <row r="918" spans="9:11" x14ac:dyDescent="0.25">
      <c r="I918" s="1" t="str">
        <f t="shared" si="12"/>
        <v/>
      </c>
      <c r="J918" s="1" t="str">
        <f t="shared" si="11"/>
        <v/>
      </c>
      <c r="K918" s="1" t="str">
        <f>myfn_bosluklariVeIsaretleridDuzenle(myfn_bosluklariVeIsaretleridDuzenle(IF(B918&lt;&gt;0,CONCATENATE(E918,"=",A918,","),"")))</f>
        <v/>
      </c>
    </row>
    <row r="919" spans="9:11" x14ac:dyDescent="0.25">
      <c r="I919" s="1" t="str">
        <f t="shared" si="12"/>
        <v/>
      </c>
      <c r="J919" s="1" t="str">
        <f t="shared" si="11"/>
        <v/>
      </c>
      <c r="K919" s="1" t="str">
        <f>myfn_bosluklariVeIsaretleridDuzenle(myfn_bosluklariVeIsaretleridDuzenle(IF(B919&lt;&gt;0,CONCATENATE(E919,"=",A919,","),"")))</f>
        <v/>
      </c>
    </row>
    <row r="920" spans="9:11" x14ac:dyDescent="0.25">
      <c r="I920" s="1" t="str">
        <f t="shared" si="12"/>
        <v/>
      </c>
      <c r="J920" s="1" t="str">
        <f t="shared" si="11"/>
        <v/>
      </c>
      <c r="K920" s="1" t="str">
        <f>myfn_bosluklariVeIsaretleridDuzenle(myfn_bosluklariVeIsaretleridDuzenle(IF(B920&lt;&gt;0,CONCATENATE(E920,"=",A920,","),"")))</f>
        <v/>
      </c>
    </row>
    <row r="921" spans="9:11" x14ac:dyDescent="0.25">
      <c r="I921" s="1" t="str">
        <f t="shared" si="12"/>
        <v/>
      </c>
      <c r="J921" s="1" t="str">
        <f t="shared" si="11"/>
        <v/>
      </c>
      <c r="K921" s="1" t="str">
        <f>myfn_bosluklariVeIsaretleridDuzenle(myfn_bosluklariVeIsaretleridDuzenle(IF(B921&lt;&gt;0,CONCATENATE(E921,"=",A921,","),"")))</f>
        <v/>
      </c>
    </row>
    <row r="922" spans="9:11" x14ac:dyDescent="0.25">
      <c r="I922" s="1" t="str">
        <f t="shared" si="12"/>
        <v/>
      </c>
      <c r="J922" s="1" t="str">
        <f t="shared" si="11"/>
        <v/>
      </c>
      <c r="K922" s="1" t="str">
        <f>myfn_bosluklariVeIsaretleridDuzenle(myfn_bosluklariVeIsaretleridDuzenle(IF(B922&lt;&gt;0,CONCATENATE(E922,"=",A922,","),"")))</f>
        <v/>
      </c>
    </row>
    <row r="923" spans="9:11" x14ac:dyDescent="0.25">
      <c r="I923" s="1" t="str">
        <f t="shared" si="12"/>
        <v/>
      </c>
      <c r="J923" s="1" t="str">
        <f t="shared" si="11"/>
        <v/>
      </c>
      <c r="K923" s="1" t="str">
        <f>myfn_bosluklariVeIsaretleridDuzenle(myfn_bosluklariVeIsaretleridDuzenle(IF(B923&lt;&gt;0,CONCATENATE(E923,"=",A923,","),"")))</f>
        <v/>
      </c>
    </row>
    <row r="924" spans="9:11" x14ac:dyDescent="0.25">
      <c r="I924" s="1" t="str">
        <f t="shared" si="12"/>
        <v/>
      </c>
      <c r="J924" s="1" t="str">
        <f t="shared" si="11"/>
        <v/>
      </c>
      <c r="K924" s="1" t="str">
        <f>myfn_bosluklariVeIsaretleridDuzenle(myfn_bosluklariVeIsaretleridDuzenle(IF(B924&lt;&gt;0,CONCATENATE(E924,"=",A924,","),"")))</f>
        <v/>
      </c>
    </row>
    <row r="925" spans="9:11" x14ac:dyDescent="0.25">
      <c r="I925" s="1" t="str">
        <f t="shared" si="12"/>
        <v/>
      </c>
      <c r="J925" s="1" t="str">
        <f t="shared" si="11"/>
        <v/>
      </c>
      <c r="K925" s="1" t="str">
        <f>myfn_bosluklariVeIsaretleridDuzenle(myfn_bosluklariVeIsaretleridDuzenle(IF(B925&lt;&gt;0,CONCATENATE(E925,"=",A925,","),"")))</f>
        <v/>
      </c>
    </row>
    <row r="926" spans="9:11" x14ac:dyDescent="0.25">
      <c r="I926" s="1" t="str">
        <f t="shared" si="12"/>
        <v/>
      </c>
      <c r="J926" s="1" t="str">
        <f t="shared" si="11"/>
        <v/>
      </c>
      <c r="K926" s="1" t="str">
        <f>myfn_bosluklariVeIsaretleridDuzenle(myfn_bosluklariVeIsaretleridDuzenle(IF(B926&lt;&gt;0,CONCATENATE(E926,"=",A926,","),"")))</f>
        <v/>
      </c>
    </row>
    <row r="927" spans="9:11" x14ac:dyDescent="0.25">
      <c r="I927" s="1" t="str">
        <f t="shared" si="12"/>
        <v/>
      </c>
      <c r="J927" s="1" t="str">
        <f t="shared" si="11"/>
        <v/>
      </c>
      <c r="K927" s="1" t="str">
        <f>myfn_bosluklariVeIsaretleridDuzenle(myfn_bosluklariVeIsaretleridDuzenle(IF(B927&lt;&gt;0,CONCATENATE(E927,"=",A927,","),"")))</f>
        <v/>
      </c>
    </row>
    <row r="928" spans="9:11" x14ac:dyDescent="0.25">
      <c r="I928" s="1" t="str">
        <f t="shared" si="12"/>
        <v/>
      </c>
      <c r="J928" s="1" t="str">
        <f t="shared" si="11"/>
        <v/>
      </c>
      <c r="K928" s="1" t="str">
        <f>myfn_bosluklariVeIsaretleridDuzenle(myfn_bosluklariVeIsaretleridDuzenle(IF(B928&lt;&gt;0,CONCATENATE(E928,"=",A928,","),"")))</f>
        <v/>
      </c>
    </row>
    <row r="929" spans="9:11" x14ac:dyDescent="0.25">
      <c r="I929" s="1" t="str">
        <f t="shared" si="12"/>
        <v/>
      </c>
      <c r="J929" s="1" t="str">
        <f t="shared" si="11"/>
        <v/>
      </c>
      <c r="K929" s="1" t="str">
        <f>myfn_bosluklariVeIsaretleridDuzenle(myfn_bosluklariVeIsaretleridDuzenle(IF(B929&lt;&gt;0,CONCATENATE(E929,"=",A929,","),"")))</f>
        <v/>
      </c>
    </row>
    <row r="930" spans="9:11" x14ac:dyDescent="0.25">
      <c r="I930" s="1" t="str">
        <f t="shared" si="12"/>
        <v/>
      </c>
      <c r="J930" s="1" t="str">
        <f t="shared" si="11"/>
        <v/>
      </c>
      <c r="K930" s="1" t="str">
        <f>myfn_bosluklariVeIsaretleridDuzenle(myfn_bosluklariVeIsaretleridDuzenle(IF(B930&lt;&gt;0,CONCATENATE(E930,"=",A930,","),"")))</f>
        <v/>
      </c>
    </row>
    <row r="931" spans="9:11" x14ac:dyDescent="0.25">
      <c r="I931" s="1" t="str">
        <f t="shared" si="12"/>
        <v/>
      </c>
      <c r="J931" s="1" t="str">
        <f t="shared" ref="J931:J935" si="13">IF(AND(B931&lt;&gt;"",B931=0),CONCATENATE(" public enum ",E931,"{","
        }"),"")</f>
        <v/>
      </c>
      <c r="K931" s="1" t="str">
        <f>myfn_bosluklariVeIsaretleridDuzenle(myfn_bosluklariVeIsaretleridDuzenle(IF(B931&lt;&gt;0,CONCATENATE(E931,"=",A931,","),"")))</f>
        <v/>
      </c>
    </row>
    <row r="932" spans="9:11" x14ac:dyDescent="0.25">
      <c r="I932" s="1" t="str">
        <f t="shared" si="12"/>
        <v/>
      </c>
      <c r="J932" s="1" t="str">
        <f t="shared" si="13"/>
        <v/>
      </c>
      <c r="K932" s="1" t="str">
        <f>myfn_bosluklariVeIsaretleridDuzenle(myfn_bosluklariVeIsaretleridDuzenle(IF(B932&lt;&gt;0,CONCATENATE(E932,"=",A932,","),"")))</f>
        <v/>
      </c>
    </row>
    <row r="933" spans="9:11" x14ac:dyDescent="0.25">
      <c r="I933" s="1" t="str">
        <f t="shared" si="12"/>
        <v/>
      </c>
      <c r="J933" s="1" t="str">
        <f t="shared" si="13"/>
        <v/>
      </c>
      <c r="K933" s="1" t="str">
        <f>myfn_bosluklariVeIsaretleridDuzenle(myfn_bosluklariVeIsaretleridDuzenle(IF(B933&lt;&gt;0,CONCATENATE(E933,"=",A933,","),"")))</f>
        <v/>
      </c>
    </row>
    <row r="934" spans="9:11" x14ac:dyDescent="0.25">
      <c r="I934" s="1" t="str">
        <f t="shared" si="12"/>
        <v/>
      </c>
      <c r="J934" s="1" t="str">
        <f t="shared" si="13"/>
        <v/>
      </c>
      <c r="K934" s="1" t="str">
        <f>myfn_bosluklariVeIsaretleridDuzenle(myfn_bosluklariVeIsaretleridDuzenle(IF(B934&lt;&gt;0,CONCATENATE(E934,"=",A934,","),"")))</f>
        <v/>
      </c>
    </row>
    <row r="935" spans="9:11" x14ac:dyDescent="0.25">
      <c r="I935" s="1" t="str">
        <f t="shared" ref="I935" si="14">IF(AND(B935&lt;&gt;""),CONCATENATE("INSERT INTO oys.Kod (ID,TIP_ID,SIRA,KOD,KISA_AD,DIGER_UYG_ENUM_AD,DIGER_UYG_ID)VALUES(",A935,",",B935,",",C935,,",","'",D935,"'",",","'",F935,"'",",",IF(_xlfn.IFNA(G935,0)&gt;0,CONCATENATE("'",G935,"'"),"null"),",",IF(_xlfn.IFNA(G935,0)&gt;0,CONCATENATE("'",H935,"'"),"null"),");"),"")</f>
        <v/>
      </c>
      <c r="J935" s="1" t="str">
        <f t="shared" si="13"/>
        <v/>
      </c>
      <c r="K935" s="1" t="str">
        <f>myfn_bosluklariVeIsaretleridDuzenle(myfn_bosluklariVeIsaretleridDuzenle(IF(B935&lt;&gt;0,CONCATENATE(E935,"=",A935,","),"")))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lookup a 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</dc:creator>
  <cp:lastModifiedBy>Ahmet-Erol</cp:lastModifiedBy>
  <dcterms:created xsi:type="dcterms:W3CDTF">2018-03-29T11:19:27Z</dcterms:created>
  <dcterms:modified xsi:type="dcterms:W3CDTF">2025-03-10T19:14:40Z</dcterms:modified>
</cp:coreProperties>
</file>